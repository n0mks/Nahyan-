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baf9788ce584cee" /></Relationships>
</file>

<file path=xl/workbook.xml><?xml version="1.0" encoding="utf-8"?>
<x:workbook xmlns:x="http://schemas.openxmlformats.org/spreadsheetml/2006/main">
  <x:sheets>
    <x:sheet xmlns:r="http://schemas.openxmlformats.org/officeDocument/2006/relationships" name="Settings" sheetId="1" r:id="Ra51c46e656c74017"/>
    <x:sheet xmlns:r="http://schemas.openxmlformats.org/officeDocument/2006/relationships" name="TopWinners" sheetId="2" r:id="R35c1992a6e3a4a22"/>
    <x:sheet xmlns:r="http://schemas.openxmlformats.org/officeDocument/2006/relationships" name="DoDont" sheetId="3" r:id="R76bff1fde7024906"/>
    <x:sheet xmlns:r="http://schemas.openxmlformats.org/officeDocument/2006/relationships" name="FAQ" sheetId="4" r:id="Rd564122812d44844"/>
    <x:sheet xmlns:r="http://schemas.openxmlformats.org/officeDocument/2006/relationships" name="TeamMembers" sheetId="5" r:id="R8609f31e1f7b4de9"/>
    <x:sheet xmlns:r="http://schemas.openxmlformats.org/officeDocument/2006/relationships" name="Leaderboards" sheetId="6" r:id="Rc22756e3621a49dc"/>
    <x:sheet xmlns:r="http://schemas.openxmlformats.org/officeDocument/2006/relationships" name="WinnersArchive" sheetId="7" r:id="R3ce9e812e5e242c3"/>
    <x:sheet xmlns:r="http://schemas.openxmlformats.org/officeDocument/2006/relationships" name="HomeRounds" sheetId="8" r:id="Ra9e30d8723804fe1"/>
    <x:sheet xmlns:r="http://schemas.openxmlformats.org/officeDocument/2006/relationships" name="FormQuestions" sheetId="9" r:id="Rbe4347ed9c554bb4"/>
    <x:sheet xmlns:r="http://schemas.openxmlformats.org/officeDocument/2006/relationships" name="ReadMe" sheetId="10" r:id="R8fe588eafd344b02"/>
  </x:sheets>
</x:workbook>
</file>

<file path=xl/sharedStrings.xml><?xml version="1.0" encoding="utf-8"?>
<x:sst xmlns:x="http://schemas.openxmlformats.org/spreadsheetml/2006/main">
  <x:si>
    <x:t xml:space="preserve">Role</x:t>
  </x:si>
  <x:si>
    <x:t xml:space="preserve">Name</x:t>
  </x:si>
  <x:si>
    <x:t xml:space="preserve">EmployeeID</x:t>
  </x:si>
  <x:si>
    <x:t xml:space="preserve">PhotoUrl</x:t>
  </x:si>
  <x:si>
    <x:t xml:space="preserve">Leader</x:t>
  </x:si>
  <x:si>
    <x:t xml:space="preserve">Abeer AlMuqdesi</x:t>
  </x:si>
  <x:si>
    <x:t xml:space="preserve">1196</x:t>
  </x:si>
  <x:si>
    <x:t xml:space="preserve">https://banki/Nazaha/Team%20Members%20Photos/Abeer.jpg</x:t>
  </x:si>
  <x:si>
    <x:t xml:space="preserve">Member</x:t>
  </x:si>
  <x:si>
    <x:t xml:space="preserve">Adil Rashid Saif Al-Maamri</x:t>
  </x:si>
  <x:si>
    <x:t xml:space="preserve">https://banki/Nazaha/Team%20Members%20Photos/Adil.jpg</x:t>
  </x:si>
  <x:si>
    <x:t xml:space="preserve">Afra Moosa</x:t>
  </x:si>
  <x:si>
    <x:t xml:space="preserve">2479</x:t>
  </x:si>
  <x:si>
    <x:t xml:space="preserve">https://banki/Nazaha/Team%20Members%20Photos/Afra.jpg</x:t>
  </x:si>
  <x:si>
    <x:t xml:space="preserve">Hadeel AlRiyami</x:t>
  </x:si>
  <x:si>
    <x:t xml:space="preserve">1407</x:t>
  </x:si>
  <x:si>
    <x:t xml:space="preserve">https://banki/Nazaha/Team%20Members%20Photos/Hadeel.jpg</x:t>
  </x:si>
  <x:si>
    <x:t xml:space="preserve">Ibrahim Ali Moosa Albaloshi</x:t>
  </x:si>
  <x:si>
    <x:t xml:space="preserve">1011</x:t>
  </x:si>
  <x:si>
    <x:t xml:space="preserve">https://banki/Nazaha/Team%20Members%20Photos/Ibrahim.jpg</x:t>
  </x:si>
  <x:si>
    <x:t xml:space="preserve">Rayyan Salim Khalfan Al Shaqsi</x:t>
  </x:si>
  <x:si>
    <x:t xml:space="preserve">2939</x:t>
  </x:si>
  <x:si>
    <x:t xml:space="preserve">https://banki/Nazaha/Team%20Members%20Photos/Rayyan.jpg</x:t>
  </x:si>
  <x:si>
    <x:t xml:space="preserve">Nahiyan Al Balushi</x:t>
  </x:si>
  <x:si>
    <x:t xml:space="preserve">3002</x:t>
  </x:si>
  <x:si>
    <x:t xml:space="preserve">https://banki/Nazaha/Team%20Members%20Photos/Nahyan.jpg</x:t>
  </x:si>
</x:sst>
</file>

<file path=xl/styles.xml><?xml version="1.0" encoding="utf-8"?>
<x:styleSheet xmlns:x="http://schemas.openxmlformats.org/spreadsheetml/2006/main">
  <x:numFmts count="2">
    <x:numFmt numFmtId="200" formatCode="0"/>
    <x:numFmt numFmtId="201" formatCode="@"/>
  </x:numFmts>
  <x:fonts count="8">
    <x:font>
      <x:sz val="11"/>
      <x:color theme="1"/>
      <x:name val="Calibri"/>
    </x:font>
    <x:font>
      <x:b/>
      <x:sz val="11"/>
      <x:color rgb="FFFFFFFF"/>
      <x:name val="Calibri"/>
    </x:font>
    <x:font>
      <x:b/>
      <x:sz val="11"/>
      <x:color rgb="FFFFFFFF"/>
      <x:name val="Calibri"/>
    </x:font>
    <x:font>
      <x:sz val="11"/>
      <x:color theme="10"/>
      <x:name val="Calibri"/>
    </x:font>
    <x:font>
      <x:sz val="10"/>
      <x:color rgb="FF111827"/>
      <x:name val="Calibri"/>
    </x:font>
    <x:font>
      <x:b/>
      <x:sz val="11"/>
      <x:color theme="0"/>
      <x:name val="Calibri"/>
    </x:font>
    <x:font>
      <x:sz val="11"/>
      <x:color rgb="FF111827"/>
      <x:name val="Calibri"/>
    </x:font>
    <x:font>
      <x:sz val="11"/>
      <x:color rgb="FF475569"/>
      <x:name val="Calibri"/>
    </x:font>
  </x:fonts>
  <x:fills count="10">
    <x:fill>
      <x:patternFill patternType="none"/>
    </x:fill>
    <x:fill>
      <x:patternFill patternType="gray125"/>
    </x:fill>
    <x:fill>
      <x:patternFill patternType="solid">
        <x:fgColor rgb="FF0B2F4A"/>
      </x:patternFill>
    </x:fill>
    <x:fill>
      <x:patternFill patternType="solid">
        <x:fgColor rgb="FF0B5A8A"/>
      </x:patternFill>
    </x:fill>
    <x:fill>
      <x:patternFill patternType="solid">
        <x:fgColor theme="4"/>
      </x:patternFill>
    </x:fill>
    <x:fill>
      <x:patternFill patternType="solid">
        <x:fgColor theme="5" tint="0.87997"/>
      </x:patternFill>
    </x:fill>
    <x:fill>
      <x:patternFill patternType="solid">
        <x:fgColor theme="5" tint="0.81997"/>
      </x:patternFill>
    </x:fill>
    <x:fill>
      <x:patternFill patternType="solid">
        <x:fgColor rgb="FF0B5A8A"/>
      </x:patternFill>
    </x:fill>
    <x:fill>
      <x:patternFill patternType="solid">
        <x:fgColor rgb="FF0B2F4A"/>
      </x:patternFill>
    </x:fill>
    <x:fill>
      <x:patternFill patternType="solid">
        <x:fgColor rgb="FFFFF6DE"/>
      </x:patternFill>
    </x:fill>
  </x:fills>
  <x:borders count="18">
    <x:border/>
    <x:border>
      <x:right style="thin">
        <x:color rgb="FFE5E7EB"/>
      </x:right>
      <x:bottom style="thin">
        <x:color rgb="FFE5E7EB"/>
      </x:bottom>
    </x:border>
    <x:border>
      <x:left style="thin">
        <x:color rgb="FFE5E7EB"/>
      </x:left>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rder>
    <x:border>
      <x:left style="thin">
        <x:color rgb="FFE5E7EB"/>
      </x:left>
      <x:right style="thin">
        <x:color rgb="FFE5E7EB"/>
      </x:right>
      <x:top style="thin">
        <x:color rgb="FFE5E7EB"/>
      </x:top>
    </x:border>
    <x:border>
      <x:left style="thin">
        <x:color rgb="FFE5E7EB"/>
      </x:left>
      <x:top style="thin">
        <x:color rgb="FFE5E7EB"/>
      </x:top>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right style="thin">
        <x:color rgb="FFE5E7EB"/>
      </x:right>
      <x:bottom style="thin">
        <x:color rgb="FFE5E7EB"/>
      </x:bottom>
    </x:border>
    <x:border>
      <x:left style="thin">
        <x:color rgb="FFE5E7EB"/>
      </x:left>
      <x:right style="thin">
        <x:color rgb="FFCBD5E1"/>
      </x:right>
      <x:bottom style="thin">
        <x:color rgb="FFE5E7EB"/>
      </x:bottom>
    </x:border>
    <x:border>
      <x:left style="thin">
        <x:color rgb="FFCBD5E1"/>
      </x:left>
      <x:right style="thin">
        <x:color rgb="FFE5E7EB"/>
      </x:right>
      <x:top style="thin">
        <x:color rgb="FFE5E7EB"/>
      </x:top>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CBD5E1"/>
      </x:right>
      <x:top style="thin">
        <x:color rgb="FFE5E7EB"/>
      </x:top>
      <x:bottom style="thin">
        <x:color rgb="FFE5E7EB"/>
      </x:bottom>
    </x:border>
    <x:border>
      <x:left style="thin">
        <x:color rgb="FFCBD5E1"/>
      </x:left>
      <x:right style="thin">
        <x:color rgb="FFE5E7EB"/>
      </x:right>
      <x:top style="thin">
        <x:color rgb="FFE5E7EB"/>
      </x:top>
      <x:bottom style="thin">
        <x:color rgb="FFCBD5E1"/>
      </x:bottom>
    </x:border>
    <x:border>
      <x:left style="thin">
        <x:color rgb="FFE5E7EB"/>
      </x:left>
      <x:right style="thin">
        <x:color rgb="FFE5E7EB"/>
      </x:right>
      <x:top style="thin">
        <x:color rgb="FFE5E7EB"/>
      </x:top>
      <x:bottom style="thin">
        <x:color rgb="FFCBD5E1"/>
      </x:bottom>
    </x:border>
    <x:border>
      <x:left style="thin">
        <x:color rgb="FFE5E7EB"/>
      </x:left>
      <x:right style="thin">
        <x:color rgb="FFCBD5E1"/>
      </x:right>
      <x:top style="thin">
        <x:color rgb="FFE5E7EB"/>
      </x:top>
      <x:bottom style="thin">
        <x:color rgb="FFCBD5E1"/>
      </x:bottom>
    </x:border>
  </x:borders>
  <x:cellStyleXfs count="2">
    <x:xf numFmtId="0" fontId="0" fillId="0" borderId="0"/>
    <x:xf numFmtId="0" fontId="3" fillId="0" borderId="0"/>
  </x:cellStyleXfs>
  <x:cellXfs count="81">
    <x:xf numFmtId="0" fontId="0" fillId="0" borderId="0" xfId="0"/>
    <x:xf numFmtId="0" fontId="1" fillId="2" borderId="0" xfId="0" applyFont="1" applyFill="1" applyAlignment="1">
      <x:alignment horizontal="center" vertical="center"/>
    </x:xf>
    <x:xf numFmtId="0" fontId="2" fillId="3" borderId="0" xfId="0" applyFont="1" applyFill="1" applyAlignment="1">
      <x:alignment horizontal="center" vertical="center" wrapText="1"/>
    </x:xf>
    <x:xf numFmtId="0" fontId="0" fillId="0" borderId="0" xfId="0" applyAlignment="1">
      <x:alignment vertical="top" wrapText="1"/>
    </x:xf>
    <x:xf numFmtId="0" fontId="3" fillId="0" borderId="0" xfId="1"/>
    <x:xf numFmtId="0" fontId="0" fillId="0" borderId="0" xfId="0" applyAlignment="1">
      <x:alignment horizontal="center" vertical="center"/>
    </x:xf>
    <x:xf numFmtId="0" fontId="1" fillId="2" borderId="0" xfId="0" applyFont="1" applyFill="1" applyAlignment="1">
      <x:alignment vertical="top" wrapText="1"/>
    </x:xf>
    <x:xf numFmtId="0" fontId="2" fillId="3" borderId="0" xfId="0" applyFont="1" applyFill="1" applyAlignment="1">
      <x:alignment vertical="top" wrapText="1"/>
    </x:xf>
    <x:xf numFmtId="0" fontId="4" fillId="5" borderId="1" xfId="0" applyFont="1" applyFill="1" applyBorder="1" applyAlignment="1">
      <x:alignment wrapText="1"/>
    </x:xf>
    <x:xf numFmtId="0" fontId="4" fillId="5" borderId="2" xfId="0" applyFont="1" applyFill="1" applyBorder="1" applyAlignment="1">
      <x:alignment wrapText="1"/>
    </x:xf>
    <x:xf numFmtId="0" fontId="4" fillId="5" borderId="3" xfId="0" applyFont="1" applyFill="1" applyBorder="1" applyAlignment="1">
      <x:alignment wrapText="1"/>
    </x:xf>
    <x:xf numFmtId="0" fontId="4" fillId="5" borderId="4" xfId="0" applyFont="1" applyFill="1" applyBorder="1" applyAlignment="1">
      <x:alignment wrapText="1"/>
    </x:xf>
    <x:xf numFmtId="0" fontId="4" fillId="5" borderId="5" xfId="0" applyFont="1" applyFill="1" applyBorder="1" applyAlignment="1">
      <x:alignment wrapText="1"/>
    </x:xf>
    <x:xf numFmtId="0" fontId="4" fillId="5" borderId="6" xfId="0" applyFont="1" applyFill="1" applyBorder="1" applyAlignment="1">
      <x:alignment wrapText="1"/>
    </x:xf>
    <x:xf numFmtId="0" fontId="5" fillId="4" borderId="7" xfId="0" applyFont="1" applyFill="1" applyBorder="1" applyAlignment="1">
      <x:alignment horizontal="center" vertical="center"/>
    </x:xf>
    <x:xf numFmtId="0" fontId="5" fillId="4" borderId="8" xfId="0" applyFont="1" applyFill="1" applyBorder="1" applyAlignment="1">
      <x:alignment horizontal="center" vertical="center"/>
    </x:xf>
    <x:xf numFmtId="0" fontId="5" fillId="4" borderId="9" xfId="0" applyFont="1" applyFill="1" applyBorder="1" applyAlignment="1">
      <x:alignment horizontal="center" vertical="center"/>
    </x:xf>
    <x:xf numFmtId="0" fontId="4" fillId="6" borderId="10" xfId="0" applyFont="1" applyFill="1" applyBorder="1" applyAlignment="1">
      <x:alignment vertical="center"/>
    </x:xf>
    <x:xf numFmtId="0" fontId="4" fillId="0" borderId="2" xfId="0" applyFont="1" applyBorder="1" applyAlignment="1">
      <x:alignment horizontal="center" vertical="center"/>
    </x:xf>
    <x:xf numFmtId="0" fontId="4" fillId="0" borderId="2" xfId="0" applyFont="1" applyBorder="1" applyAlignment="1">
      <x:alignment vertical="center"/>
    </x:xf>
    <x:xf numFmtId="0" fontId="4" fillId="0" borderId="11" xfId="0" applyFont="1" applyBorder="1" applyAlignment="1">
      <x:alignment horizontal="center" vertical="center"/>
    </x:xf>
    <x:xf numFmtId="0" fontId="4" fillId="6" borderId="12" xfId="0" applyFont="1" applyFill="1" applyBorder="1" applyAlignment="1">
      <x:alignment vertical="center"/>
    </x:xf>
    <x:xf numFmtId="0" fontId="4" fillId="0" borderId="13" xfId="0" applyFont="1" applyBorder="1" applyAlignment="1">
      <x:alignment horizontal="center" vertical="center"/>
    </x:xf>
    <x:xf numFmtId="0" fontId="4" fillId="0" borderId="13" xfId="0" applyFont="1" applyBorder="1" applyAlignment="1">
      <x:alignment vertical="center"/>
    </x:xf>
    <x:xf numFmtId="0" fontId="4" fillId="0" borderId="14" xfId="0" applyFont="1" applyBorder="1" applyAlignment="1">
      <x:alignment horizontal="center" vertical="center"/>
    </x:xf>
    <x:xf numFmtId="0" fontId="4" fillId="6" borderId="15" xfId="0" applyFont="1" applyFill="1" applyBorder="1" applyAlignment="1">
      <x:alignment vertical="center"/>
    </x:xf>
    <x:xf numFmtId="0" fontId="4" fillId="0" borderId="16" xfId="0" applyFont="1" applyBorder="1" applyAlignment="1">
      <x:alignment horizontal="center" vertical="center"/>
    </x:xf>
    <x:xf numFmtId="0" fontId="4" fillId="0" borderId="16" xfId="0" applyFont="1" applyBorder="1" applyAlignment="1">
      <x:alignment vertical="center"/>
    </x:xf>
    <x:xf numFmtId="0" fontId="4" fillId="0" borderId="17" xfId="0" applyFont="1" applyBorder="1" applyAlignment="1">
      <x:alignment horizontal="center" vertical="center"/>
    </x:xf>
    <x:xf numFmtId="0" fontId="6" fillId="0" borderId="0" xfId="0" applyNumberFormat="1" applyFont="1" applyFill="1" applyBorder="1"/>
    <x:xf numFmtId="0" fontId="6" fillId="0" borderId="0" xfId="0" applyNumberFormat="1" applyFont="1" applyFill="1" applyBorder="1" applyAlignment="1">
      <x:alignment wrapText="1"/>
    </x:xf>
    <x:xf numFmtId="0" fontId="6"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3" fillId="0" borderId="0" xfId="0" applyNumberFormat="1" applyFont="1" applyFill="1" applyBorder="1" applyAlignment="1">
      <x:alignment wrapText="1"/>
    </x:xf>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4" xfId="0" applyNumberFormat="1" applyFont="1" applyFill="1" applyBorder="1" applyAlignment="1">
      <x:alignment wrapText="1"/>
    </x:xf>
    <x:xf numFmtId="0" fontId="4" fillId="5" borderId="5" xfId="0" applyNumberFormat="1" applyFont="1" applyFill="1" applyBorder="1" applyAlignment="1">
      <x:alignment wrapText="1"/>
    </x:xf>
    <x:xf numFmtId="0" fontId="4" fillId="5" borderId="6" xfId="0" applyNumberFormat="1" applyFont="1" applyFill="1" applyBorder="1" applyAlignment="1">
      <x:alignment wrapText="1"/>
    </x:xf>
    <x:xf numFmtId="0" fontId="3" fillId="0" borderId="0"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3" xfId="0" applyNumberFormat="1" applyFont="1" applyFill="1" applyBorder="1" applyAlignment="1">
      <x:alignment vertical="top" wrapText="1"/>
    </x:xf>
    <x:xf numFmtId="0" fontId="4" fillId="5" borderId="4"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6" xfId="0" applyNumberFormat="1" applyFont="1" applyFill="1" applyBorder="1" applyAlignment="1">
      <x:alignment vertical="top" wrapText="1"/>
    </x:xf>
    <x:xf numFmtId="0" fontId="1" fillId="3"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top" wrapText="1"/>
    </x:xf>
    <x:xf numFmtId="0" fontId="0" fillId="0" borderId="0" xfId="0"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7"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7" borderId="0" xfId="0" applyNumberFormat="1" applyFont="1" applyFill="1" applyBorder="1" applyAlignment="1">
      <x:alignment vertical="center" wrapText="1"/>
    </x:xf>
    <x:xf numFmtId="0" fontId="7"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5" fillId="4" borderId="7" xfId="0" applyNumberFormat="1" applyFont="1" applyFill="1" applyBorder="1" applyAlignment="1">
      <x:alignment horizontal="center" vertical="center" wrapText="1"/>
    </x:xf>
    <x:xf numFmtId="0" fontId="5" fillId="4" borderId="8" xfId="0" applyNumberFormat="1" applyFont="1" applyFill="1" applyBorder="1" applyAlignment="1">
      <x:alignment horizontal="center" vertical="center" wrapText="1"/>
    </x:xf>
    <x:xf numFmtId="0" fontId="5" fillId="4" borderId="9" xfId="0" applyNumberFormat="1" applyFont="1" applyFill="1" applyBorder="1" applyAlignment="1">
      <x:alignment horizontal="center" vertical="center" wrapText="1"/>
    </x:xf>
    <x:xf numFmtId="0" fontId="5" fillId="4" borderId="7" xfId="0" applyNumberFormat="1" applyFont="1" applyFill="1" applyBorder="1" applyAlignment="1">
      <x:alignment horizontal="center" vertical="top" wrapText="1"/>
    </x:xf>
    <x:xf numFmtId="0" fontId="5" fillId="4" borderId="8" xfId="0" applyNumberFormat="1" applyFont="1" applyFill="1" applyBorder="1" applyAlignment="1">
      <x:alignment horizontal="center" vertical="top" wrapText="1"/>
    </x:xf>
    <x:xf numFmtId="0" fontId="5" fillId="4" borderId="9"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top" wrapText="1"/>
    </x:xf>
    <x:xf numFmtId="0" fontId="0" fillId="0" borderId="0" xfId="0">
      <x:extLst>
        <x:ext uri="{C7286773-470A-42A8-94C5-96B5CB345126}">
          <xfpb:xfComplement xmlns:xfpb="http://schemas.microsoft.com/office/spreadsheetml/2022/featurepropertybag" i="0"/>
        </x:ext>
      </x:extLst>
    </x:xf>
    <x:xf numFmtId="0" fontId="6" fillId="0" borderId="0" xfId="0" applyNumberFormat="1" applyFont="1" applyFill="1" applyBorder="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8"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1" fillId="8" borderId="0" xfId="0" applyNumberFormat="1" applyFont="1" applyFill="1" applyBorder="1" applyAlignment="1">
      <x:alignment horizontal="left" vertical="top" wrapText="1"/>
    </x:xf>
    <x:xf numFmtId="0" fontId="1" fillId="8" borderId="0" xfId="0" applyNumberFormat="1" applyFont="1" applyFill="1" applyBorder="1" applyAlignment="1">
      <x:alignment horizontal="left" vertical="center" wrapText="1"/>
    </x:xf>
    <x:xf numFmtId="201" fontId="6" fillId="0" borderId="0" xfId="0" applyNumberFormat="1" applyFont="1" applyFill="1" applyBorder="1" applyAlignment="1">
      <x:alignment vertical="top" wrapText="1"/>
    </x:xf>
    <x:xf numFmtId="201" fontId="6" fillId="9"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6" fillId="9" borderId="0" xfId="0" applyNumberFormat="1" applyFont="1" applyFill="1" applyBorder="1" applyAlignment="1">
      <x:alignment vertical="top" wrapText="1"/>
    </x:xf>
    <x:xf numFmtId="0" fontId="0" fillId="9" borderId="0" xfId="0" applyNumberFormat="1" applyFont="1" applyFill="1" applyBorder="1" applyAlignment="1">
      <x:alignment vertical="top" wrapText="1"/>
    </x:xf>
  </x:cellXfs>
  <x:cellStyles count="2">
    <x:cellStyle name="Hyperlink" xfId="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db3a04e19274fe9" /><Relationship Type="http://schemas.openxmlformats.org/officeDocument/2006/relationships/theme" Target="/xl/theme/theme1.xml" Id="R3c87f49035884ea3" /><Relationship Type="http://schemas.microsoft.com/office/2022/11/relationships/FeaturePropertyBag" Target="/xl/featurePropertyBag/featurePropertyBag.xml" Id="R95b334fbb80e4b29" /><Relationship Type="http://schemas.openxmlformats.org/officeDocument/2006/relationships/sharedStrings" Target="/xl/sharedStrings.xml" Id="R3bb6f9c47c2147e3" /><Relationship Type="http://schemas.openxmlformats.org/officeDocument/2006/relationships/worksheet" Target="/xl/worksheets/sheet1.xml" Id="Ra51c46e656c74017" /><Relationship Type="http://schemas.openxmlformats.org/officeDocument/2006/relationships/worksheet" Target="/xl/worksheets/sheet2.xml" Id="R35c1992a6e3a4a22" /><Relationship Type="http://schemas.openxmlformats.org/officeDocument/2006/relationships/worksheet" Target="/xl/worksheets/sheet3.xml" Id="R76bff1fde7024906" /><Relationship Type="http://schemas.openxmlformats.org/officeDocument/2006/relationships/worksheet" Target="/xl/worksheets/sheet4.xml" Id="Rd564122812d44844" /><Relationship Type="http://schemas.openxmlformats.org/officeDocument/2006/relationships/worksheet" Target="/xl/worksheets/sheet5.xml" Id="R8609f31e1f7b4de9" /><Relationship Type="http://schemas.openxmlformats.org/officeDocument/2006/relationships/worksheet" Target="/xl/worksheets/sheet6.xml" Id="Rc22756e3621a49dc" /><Relationship Type="http://schemas.openxmlformats.org/officeDocument/2006/relationships/worksheet" Target="/xl/worksheets/sheet7.xml" Id="R3ce9e812e5e242c3" /><Relationship Type="http://schemas.openxmlformats.org/officeDocument/2006/relationships/worksheet" Target="/xl/worksheets/sheet8.xml" Id="Ra9e30d8723804fe1" /><Relationship Type="http://schemas.openxmlformats.org/officeDocument/2006/relationships/worksheet" Target="/xl/worksheets/sheet9.xml" Id="Rbe4347ed9c554bb4" /><Relationship Type="http://schemas.openxmlformats.org/officeDocument/2006/relationships/worksheet" Target="/xl/worksheets/sheet10.xml" Id="R8fe588eafd344b02"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NzHomeRounds" displayName="NzHomeRounds" ref="A1:H5" headerRowCount="1" totalsRowCount="0" totalsRowShown="0">
  <x:autoFilter ref="A1:H5"/>
  <x:tableColumns count="8">
    <x:tableColumn id="1" name="Round"/>
    <x:tableColumn id="2" name="Period"/>
    <x:tableColumn id="3" name="Title"/>
    <x:tableColumn id="4" name="Description"/>
    <x:tableColumn id="5" name="Url"/>
    <x:tableColumn id="6" name="OpenAt"/>
    <x:tableColumn id="7" name="CloseAt"/>
    <x:tableColumn id="8" name="Enabled"/>
  </x:tableColumns>
  <x:tableStyleInfo name="TableStyleMedium2" showFirstColumn="0" showLastColumn="0" showRowStripes="1" showColumnStripes="0"/>
</x:table>
</file>

<file path=xl/tables/table2.xml><?xml version="1.0" encoding="utf-8"?>
<x:table xmlns:x="http://schemas.openxmlformats.org/spreadsheetml/2006/main" id="2" name="NzFormQuestions" displayName="NzFormQuestions" ref="A1:H5" headerRowCount="1" totalsRowCount="0" totalsRowShown="0">
  <x:autoFilter ref="A1:H5"/>
  <x:tableColumns count="8">
    <x:tableColumn id="1" name="Round"/>
    <x:tableColumn id="2" name="QuestionID"/>
    <x:tableColumn id="3" name="Question_EN"/>
    <x:tableColumn id="4" name="Option_A"/>
    <x:tableColumn id="5" name="Option_B"/>
    <x:tableColumn id="6" name="Option_C"/>
    <x:tableColumn id="7" name="SourceSection"/>
    <x:tableColumn id="8" name="Status"/>
  </x:tableColumns>
  <x:tableStyleInfo name="TableStyleMedium2" showFirstColumn="0" showLastColumn="0" showRowStripes="1" showColumnStripes="0"/>
</x:table>
</file>

<file path=xl/tables/table3.xml><?xml version="1.0" encoding="utf-8"?>
<x:table xmlns:x="http://schemas.openxmlformats.org/spreadsheetml/2006/main" id="3" name="NzReadMe" displayName="NzReadMe" ref="A1:B14" headerRowCount="1" totalsRowCount="0" totalsRowShown="0">
  <x:autoFilter ref="A1:B14"/>
  <x:tableColumns count="2">
    <x:tableColumn id="1" name="Topic"/>
    <x:tableColumn id="2" name="Instructions"/>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banki/Nazaha/videos/Nazaha Talk Episode 03.mp4" TargetMode="External" Id="R98f77d2394274c7b" /><Relationship Type="http://schemas.openxmlformats.org/officeDocument/2006/relationships/hyperlink" Target="https://banki/Nazaha/Icons/announcement.png" TargetMode="External" Id="R44f8a6eaa3774ca3" /><Relationship Type="http://schemas.openxmlformats.org/officeDocument/2006/relationships/hyperlink" Target="https://banki/Nazaha/Icons/video.png" TargetMode="External" Id="Rf0fbaad0bb084d8f" /><Relationship Type="http://schemas.openxmlformats.org/officeDocument/2006/relationships/hyperlink" Target="https://banki/Nazaha/Icons/podcast.png" TargetMode="External" Id="R7418ced4eaa341d9" /><Relationship Type="http://schemas.openxmlformats.org/officeDocument/2006/relationships/hyperlink" Target="https://banki/Nazaha/Icons/code of conduct.png" TargetMode="External" Id="Redb6667ff3a94669" /><Relationship Type="http://schemas.openxmlformats.org/officeDocument/2006/relationships/hyperlink" Target="https://banki/Nazaha/videos/Nazaha Talk Episode 03.mp4" TargetMode="External" Id="R9f2a4d86c4df45ea" /><Relationship Type="http://schemas.openxmlformats.org/officeDocument/2006/relationships/hyperlink" Target="https://banki/Nazaha/podcast photo/j.jpg" TargetMode="External" Id="Re91f482c4cb14471" /></Relationships>
</file>

<file path=xl/worksheets/_rels/sheet5.xml.rels>&#65279;<?xml version="1.0" encoding="utf-8"?><Relationships xmlns="http://schemas.openxmlformats.org/package/2006/relationships"><Relationship Type="http://schemas.openxmlformats.org/officeDocument/2006/relationships/hyperlink" Target="../Team%20Members%20Photos/Adil.jpg" TargetMode="External" Id="Rbf808fc1ffc14134" /><Relationship Type="http://schemas.openxmlformats.org/officeDocument/2006/relationships/hyperlink" Target="../Team%20Members%20Photos/Afra.jpg" TargetMode="External" Id="R0bb41f5da4c04214" /><Relationship Type="http://schemas.openxmlformats.org/officeDocument/2006/relationships/hyperlink" Target="../Team%20Members%20Photos/Rayyan.jpg" TargetMode="External" Id="R34d2fefc72ef4cea" /><Relationship Type="http://schemas.openxmlformats.org/officeDocument/2006/relationships/hyperlink" Target="../Team%20Members%20Photos/Nahyan.jpg" TargetMode="External" Id="Rf275e5d180954b99" /></Relationships>
</file>

<file path=xl/worksheets/_rels/sheet8.xml.rels>&#65279;<?xml version="1.0" encoding="utf-8"?><Relationships xmlns="http://schemas.openxmlformats.org/package/2006/relationships"><Relationship Type="http://schemas.openxmlformats.org/officeDocument/2006/relationships/table" Target="/xl/tables/table1.xml" Id="R66e38181bfbe4453" /></Relationships>
</file>

<file path=xl/worksheets/_rels/sheet9.xml.rels>&#65279;<?xml version="1.0" encoding="utf-8"?><Relationships xmlns="http://schemas.openxmlformats.org/package/2006/relationships"><Relationship Type="http://schemas.openxmlformats.org/officeDocument/2006/relationships/table" Target="/xl/tables/table2.xml" Id="R5918685e7ef04e05" /></Relationships>
</file>

<file path=xl/worksheets/_rels/sheet10.xml.rels>&#65279;<?xml version="1.0" encoding="utf-8"?><Relationships xmlns="http://schemas.openxmlformats.org/package/2006/relationships"><Relationship Type="http://schemas.openxmlformats.org/officeDocument/2006/relationships/table" Target="/xl/tables/table3.xml" Id="Rdd2b6b4144524983" /></Relationships>
</file>

<file path=xl/worksheets/sheet1.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38" hidden="0" customWidth="1"/>
    <x:col min="2" max="2" width="90" hidden="0" customWidth="1"/>
    <x:col min="3" max="3" width="70" hidden="0" customWidth="1"/>
  </x:cols>
  <x:sheetData>
    <x:row r="1">
      <x:c r="A1" s="32" t="str">
        <x:v>Key</x:v>
      </x:c>
      <x:c r="B1" s="32" t="str">
        <x:v>Value</x:v>
      </x:c>
      <x:c r="C1" s="32" t="str">
        <x:v>Notes</x:v>
      </x:c>
    </x:row>
    <x:row r="2" ht="28" customHeight="1">
      <x:c r="A2" s="33" t="str">
        <x:v>circular_url</x:v>
      </x:c>
      <x:c r="B2" s="33" t="str">
        <x:v>https://banki/Nazaha/Our%20Circular/Forms/Thumbnails.aspx</x:v>
      </x:c>
      <x:c r="C2" s="33" t="str">
        <x:v>Our Circular library URL</x:v>
      </x:c>
    </x:row>
    <x:row r="3" ht="28" customHeight="1">
      <x:c r="A3" s="33" t="str">
        <x:v>videos_url</x:v>
      </x:c>
      <x:c r="B3" s="33" t="str">
        <x:v>https://banki/Nazaha/Video/Forms/Thumbnails.aspx</x:v>
      </x:c>
      <x:c r="C3" s="33" t="str">
        <x:v>Our Videos library URL</x:v>
      </x:c>
    </x:row>
    <x:row r="4" ht="28" customHeight="1">
      <x:c r="A4" s="33" t="str">
        <x:v>podcast_url</x:v>
      </x:c>
      <x:c r="B4" s="33" t="str">
        <x:v>https://banki/Nazaha/Podcast/Forms/Thumbnails.aspx</x:v>
      </x:c>
      <x:c r="C4" s="33" t="str">
        <x:v>Our Podcast library URL</x:v>
      </x:c>
    </x:row>
    <x:row r="5" ht="28" customHeight="1">
      <x:c r="A5" s="33" t="str">
        <x:v>code_of_conduct_en_pdf</x:v>
      </x:c>
      <x:c r="B5" s="33" t="str">
        <x:v>https://banki/Nazaha/Code%20Of%20Conduct/2023%20-%20Code%20of%20Conduct%20English.pdf</x:v>
      </x:c>
      <x:c r="C5" s="33" t="str">
        <x:v>Code of Conduct (English) PDF</x:v>
      </x:c>
    </x:row>
    <x:row r="6" ht="28" customHeight="1">
      <x:c r="A6" s="33" t="str">
        <x:v>code_of_conduct_ar_pdf</x:v>
      </x:c>
      <x:c r="B6" s="33" t="str">
        <x:v>https://banki/Nazaha/Code%20Of%20Conduct/2023%20-%20Code%20of%20Conduct%20Arabic.pdf</x:v>
      </x:c>
      <x:c r="C6" s="33" t="str">
        <x:v>Code of Conduct (Arabic) PDF</x:v>
      </x:c>
    </x:row>
    <x:row r="7" ht="28" customHeight="1">
      <x:c r="A7" s="33" t="str">
        <x:v>episode_1_mp4</x:v>
      </x:c>
      <x:c r="B7" s="33" t="str">
        <x:v>https://banki/Nazaha/videos/Nazaha%20Talk%20Episode%2001.mp4</x:v>
      </x:c>
      <x:c r="C7" s="33" t="str">
        <x:v>Nazaha Talk - Episode 01</x:v>
      </x:c>
    </x:row>
    <x:row r="8" ht="28" customHeight="1">
      <x:c r="A8" s="33" t="str">
        <x:v>episode_2_mp4</x:v>
      </x:c>
      <x:c r="B8" s="33" t="str">
        <x:v>https://banki/Nazaha/videos/Nazaha%20Talk%20Episode%2002.mp4</x:v>
      </x:c>
      <x:c r="C8" s="33" t="str">
        <x:v>Nazaha Talk - Episode 02</x:v>
      </x:c>
    </x:row>
    <x:row r="9" ht="28" customHeight="1">
      <x:c r="A9" s="33" t="str">
        <x:v>episode_3_mp4</x:v>
      </x:c>
      <x:c r="B9" s="41" t="str">
        <x:v>https://banki/Nazaha/videos/Nazaha%20Talk%20Episode%2003.mp4</x:v>
      </x:c>
      <x:c r="C9" s="33" t="str">
        <x:v>Nazaha Talk - Episode 03</x:v>
      </x:c>
    </x:row>
    <x:row r="10" ht="42" customHeight="1">
      <x:c r="A10" s="33" t="str">
        <x:v>challenge_en_url</x:v>
      </x:c>
      <x:c r="B10" s="80" t="str"/>
      <x:c r="C10" s="33" t="str">
        <x:v>Optional general challenge form link. Leave blank until a form is ready. Scheduled rounds use HomeRounds.Url.</x:v>
      </x:c>
    </x:row>
    <x:row r="11" ht="28" customHeight="1">
      <x:c r="A11" s="33" t="str">
        <x:v>challenge_ar_url</x:v>
      </x:c>
      <x:c r="B11" s="33" t="str"/>
      <x:c r="C11" s="33" t="str">
        <x:v>Legacy key retained for compatibility. No form is configured here.</x:v>
      </x:c>
    </x:row>
    <x:row r="12" ht="42" customHeight="1">
      <x:c r="A12" s="33" t="str">
        <x:v>winners_month_label</x:v>
      </x:c>
      <x:c r="B12" s="33" t="str"/>
      <x:c r="C12" s="33" t="str">
        <x:v>Set the actual publication month when adding verified TopWinners. No results are published in this file.</x:v>
      </x:c>
    </x:row>
    <x:row r="13" ht="42" customHeight="1">
      <x:c r="A13" s="33" t="str">
        <x:v>winners_participation_points</x:v>
      </x:c>
      <x:c r="B13" s="33" t="n">
        <x:f>'Settings'!$B$39</x:f>
        <x:v>5</x:v>
      </x:c>
      <x:c r="C13" s="33" t="str">
        <x:v>Legacy page compatibility. Same participation score as home_participation_points.</x:v>
      </x:c>
    </x:row>
    <x:row r="14" ht="28" customHeight="1">
      <x:c r="A14" s="33" t="str">
        <x:v>suggest_email</x:v>
      </x:c>
      <x:c r="B14" s="33" t="str">
        <x:v>Nazhateam@oman-arabbank.com</x:v>
      </x:c>
      <x:c r="C14" s="33" t="str">
        <x:v>Suggest an Idea email (no mailto)</x:v>
      </x:c>
    </x:row>
    <x:row r="15" ht="82" customHeight="1">
      <x:c r="A15" s="33" t="str">
        <x:v>announcement_en</x:v>
      </x:c>
      <x:c r="B15" s="33" t="str">
        <x:f>"Four weekly rounds each month. Earn "&amp;'Settings'!$B$39&amp;" participation points plus "&amp;'Settings'!$B$40&amp;" points for a correct answer per round, up to "&amp;(4*('Settings'!$B$39+'Settings'!$B$40))&amp;" points per month. Recognition is through published names and points, with no programme cash prizes or vouchers."</x:f>
        <x:v>Four weekly rounds each month. Earn 5 participation points plus 5 points for a correct answer per round, up to 40 points per month. Recognition is through published names and points, with no programme cash prizes or vouchers.</x:v>
      </x:c>
      <x:c r="C15" s="33" t="str">
        <x:v>New monthly programme. The displayed score values follow the Settings inputs.</x:v>
      </x:c>
    </x:row>
    <x:row r="16" ht="42" customHeight="1">
      <x:c r="A16" s="33" t="str">
        <x:v>announcement_ar</x:v>
      </x:c>
      <x:c r="B16" s="33" t="str"/>
      <x:c r="C16" s="33" t="str">
        <x:v>Legacy key retained with no content. The updated portal uses English.</x:v>
      </x:c>
    </x:row>
    <x:row r="17" ht="28" customHeight="1">
      <x:c r="A17" s="33" t="str">
        <x:v>media_icon_announcements</x:v>
      </x:c>
      <x:c r="B17" s="41" t="str">
        <x:v>https://banki/Nazaha/Icons/announcement.png</x:v>
      </x:c>
      <x:c r="C17" s="33" t="str">
        <x:v>Announcements card icon image URL</x:v>
      </x:c>
    </x:row>
    <x:row r="18" ht="28" customHeight="1">
      <x:c r="A18" s="33" t="str">
        <x:v>media_icon_videos</x:v>
      </x:c>
      <x:c r="B18" s="41" t="str">
        <x:v>https://banki/Nazaha/Icons/video.png</x:v>
      </x:c>
      <x:c r="C18" s="33" t="str">
        <x:v>Videos card icon image URL</x:v>
      </x:c>
    </x:row>
    <x:row r="19" ht="28" customHeight="1">
      <x:c r="A19" s="33" t="str">
        <x:v>media_icon_podcast</x:v>
      </x:c>
      <x:c r="B19" s="41" t="str">
        <x:v>https://banki/Nazaha/Icons/podcast.png</x:v>
      </x:c>
      <x:c r="C19" s="33" t="str">
        <x:v>Podcast card icon image URL</x:v>
      </x:c>
    </x:row>
    <x:row r="20" ht="28" customHeight="1">
      <x:c r="A20" s="33" t="str">
        <x:v>media_icon_code_of_conduct</x:v>
      </x:c>
      <x:c r="B20" s="41" t="str">
        <x:v>https://banki/Nazaha/Icons/code%20of%20conduct.png</x:v>
      </x:c>
      <x:c r="C20" s="33" t="str">
        <x:v>Code of Conduct card icon image URL</x:v>
      </x:c>
    </x:row>
    <x:row r="21" ht="42" customHeight="1">
      <x:c r="A21" s="33" t="str">
        <x:v>featured_episode_number</x:v>
      </x:c>
      <x:c r="B21" s="33" t="str">
        <x:v>EP 03</x:v>
      </x:c>
      <x:c r="C21" s="33" t="str">
        <x:v>Matches the existing linked video filename, Nazaha Talk Episode 03.mp4.</x:v>
      </x:c>
    </x:row>
    <x:row r="22" ht="28" customHeight="1">
      <x:c r="A22" s="33" t="str">
        <x:v>featured_episode_title</x:v>
      </x:c>
      <x:c r="B22" s="33" t="str">
        <x:v>Nazaha Talk - Featured Episode</x:v>
      </x:c>
      <x:c r="C22" s="33" t="str">
        <x:v>Featured podcast title. Existing media file links are retained.</x:v>
      </x:c>
    </x:row>
    <x:row r="23" ht="42" customHeight="1">
      <x:c r="A23" s="33" t="str">
        <x:v>featured_episode_desc</x:v>
      </x:c>
      <x:c r="B23" s="33" t="str">
        <x:v>Watch the latest Nazaha Talk episode and stay connected with key discussions that support awareness, ethics, and responsible workplace behaviour.</x:v>
      </x:c>
      <x:c r="C23" s="33" t="str">
        <x:v>Featured podcast description</x:v>
      </x:c>
    </x:row>
    <x:row r="24" ht="42" customHeight="1">
      <x:c r="A24" s="33" t="str">
        <x:v>featured_presenter_bio</x:v>
      </x:c>
      <x:c r="B24" s="33" t="str"/>
      <x:c r="C24" s="33" t="str">
        <x:v>Enter the actual presenter biography when supplied. The old editing placeholder has been cleared.</x:v>
      </x:c>
    </x:row>
    <x:row r="25" ht="28" customHeight="1">
      <x:c r="A25" s="33" t="str">
        <x:v>featured_episode_url</x:v>
      </x:c>
      <x:c r="B25" s="41" t="str">
        <x:v>https://banki/Nazaha/videos/Nazaha%20Talk%20Episode%2003.mp4</x:v>
      </x:c>
      <x:c r="C25" s="33" t="str">
        <x:v>Public or SharePoint episode link used for Watch Episode button</x:v>
      </x:c>
    </x:row>
    <x:row r="26" ht="42" customHeight="1">
      <x:c r="A26" s="33" t="str">
        <x:v>featured_embed_url</x:v>
      </x:c>
      <x:c r="B26" s="41" t="str">
        <x:v>https://banki/Nazaha/podcast%20photo/j.jpg</x:v>
      </x:c>
      <x:c r="C26" s="33" t="str">
        <x:v>Existing portrait poster image used by the Media Hub. Keep this image URL and its display dimensions.</x:v>
      </x:c>
    </x:row>
    <x:row r="27" ht="42" customHeight="1">
      <x:c r="A27" s="42" t="str">
        <x:v>monthly_leaderboard_label</x:v>
      </x:c>
      <x:c r="B27" s="43" t="str">
        <x:v>Published monthly results</x:v>
      </x:c>
      <x:c r="C27" s="44" t="str">
        <x:v>Replace with the actual month and year when verified results are published.</x:v>
      </x:c>
    </x:row>
    <x:row r="28" ht="42" customHeight="1">
      <x:c r="A28" s="45" t="str">
        <x:v>quarterly_leaderboard_label</x:v>
      </x:c>
      <x:c r="B28" s="46" t="str">
        <x:v>Published quarterly results</x:v>
      </x:c>
      <x:c r="C28" s="47" t="str">
        <x:v>Replace with the actual quarter and year when verified results are published.</x:v>
      </x:c>
    </x:row>
    <x:row r="29" ht="28" customHeight="1">
      <x:c r="A29" s="31" t="str">
        <x:v>home_url</x:v>
      </x:c>
      <x:c r="B29" s="31" t="str">
        <x:v>https://banki/Nazaha/Pages/default.aspx</x:v>
      </x:c>
      <x:c r="C29" s="31" t="str">
        <x:v>Home menu destination.</x:v>
      </x:c>
    </x:row>
    <x:row r="30" ht="28" customHeight="1">
      <x:c r="A30" s="31" t="str">
        <x:v>team_url</x:v>
      </x:c>
      <x:c r="B30" s="31" t="str">
        <x:v>https://banki/Nazaha/Pages/Nazaha-Team.aspx</x:v>
      </x:c>
      <x:c r="C30" s="31" t="str">
        <x:v>Nazaha Team menu destination.</x:v>
      </x:c>
    </x:row>
    <x:row r="31" ht="28" customHeight="1">
      <x:c r="A31" s="31" t="str">
        <x:v>media_hub_url</x:v>
      </x:c>
      <x:c r="B31" s="31" t="str">
        <x:v>https://banki/Nazaha/Pages/Media-Hub.aspx</x:v>
      </x:c>
      <x:c r="C31" s="31" t="str">
        <x:v>Media Hub menu destination.</x:v>
      </x:c>
    </x:row>
    <x:row r="32" ht="28" customHeight="1">
      <x:c r="A32" s="31" t="str">
        <x:v>challenge_url</x:v>
      </x:c>
      <x:c r="B32" s="31" t="str">
        <x:v>https://banki/Nazaha/Pages/Challenges-%26-Winners.aspx</x:v>
      </x:c>
      <x:c r="C32" s="31" t="str">
        <x:v>Challenges and Leaderboard. Existing page address is retained.</x:v>
      </x:c>
    </x:row>
    <x:row r="33" ht="28" customHeight="1">
      <x:c r="A33" s="31" t="str">
        <x:v>points_url</x:v>
      </x:c>
      <x:c r="B33" s="31" t="str">
        <x:v>https://banki/Nazaha/Pages/Points-%26-Rewards.aspx</x:v>
      </x:c>
      <x:c r="C33" s="31" t="str">
        <x:v>Points and Recognition. Existing page address is retained.</x:v>
      </x:c>
    </x:row>
    <x:row r="34" ht="28" customHeight="1">
      <x:c r="A34" s="31" t="str">
        <x:v>integrity_guide_url</x:v>
      </x:c>
      <x:c r="B34" s="31" t="str">
        <x:v>https://banki/Nazaha/Pages/Integrity-Guide.aspx</x:v>
      </x:c>
      <x:c r="C34" s="31" t="str">
        <x:v>Integrity Guide menu destination.</x:v>
      </x:c>
    </x:row>
    <x:row r="35" ht="28" customHeight="1">
      <x:c r="A35" s="31" t="str">
        <x:v>speaking_up_page_url</x:v>
      </x:c>
      <x:c r="B35" s="31" t="str">
        <x:v>https://banki/Nazaha/Pages/Speaking-Up.aspx</x:v>
      </x:c>
      <x:c r="C35" s="31" t="str">
        <x:v>Speaking Up menu destination.</x:v>
      </x:c>
    </x:row>
    <x:row r="36" ht="28" customHeight="1">
      <x:c r="A36" s="31" t="str">
        <x:v>faq_url</x:v>
      </x:c>
      <x:c r="B36" s="31" t="str">
        <x:v>https://banki/Nazaha/Pages/FAQ.aspx</x:v>
      </x:c>
      <x:c r="C36" s="31" t="str">
        <x:v>Integrity Q&amp;A menu destination.</x:v>
      </x:c>
    </x:row>
    <x:row r="37" ht="28" customHeight="1">
      <x:c r="A37" s="31" t="str">
        <x:v>speaking_up_email</x:v>
      </x:c>
      <x:c r="B37" s="31" t="str">
        <x:v>speakingup@oman-arabbank.com</x:v>
      </x:c>
      <x:c r="C37" s="31" t="str">
        <x:v>Official Speaking Up mailbox in Code of Conduct, Section 12.</x:v>
      </x:c>
    </x:row>
    <x:row r="38" ht="42" customHeight="1">
      <x:c r="A38" s="31" t="str">
        <x:v>home_period</x:v>
      </x:c>
      <x:c r="B38" s="79" t="str"/>
      <x:c r="C38" s="31" t="str">
        <x:v>Optional YYYY-MM campaign month. Blank follows the current month in Oman time. Match HomeRounds.Period for a scheduled campaign.</x:v>
      </x:c>
    </x:row>
    <x:row r="39" ht="42" customHeight="1">
      <x:c r="A39" s="31" t="str">
        <x:v>home_participation_points</x:v>
      </x:c>
      <x:c r="B39" s="78" t="n">
        <x:v>5</x:v>
      </x:c>
      <x:c r="C39" s="31" t="str">
        <x:v>Per eligible round response. Changing this display input also requires updating the scoring workflow before launch.</x:v>
      </x:c>
    </x:row>
    <x:row r="40" ht="42" customHeight="1">
      <x:c r="A40" s="31" t="str">
        <x:v>home_accuracy_points</x:v>
      </x:c>
      <x:c r="B40" s="78" t="n">
        <x:v>5</x:v>
      </x:c>
      <x:c r="C40" s="31" t="str">
        <x:v>Additional points for the correct answer. The first eligible response counts. No browser click awards points.</x:v>
      </x:c>
    </x:row>
    <x:row r="41" ht="42" customHeight="1">
      <x:c r="A41" s="31" t="str">
        <x:v>home_results_list_id</x:v>
      </x:c>
      <x:c r="B41" s="79" t="str"/>
      <x:c r="C41" s="31" t="str">
        <x:v>Optional GUID of the SharePoint list containing published results. Leave blank until the list and publication workflow exist.</x:v>
      </x:c>
    </x:row>
    <x:row r="42" ht="42" customHeight="1">
      <x:c r="A42" s="31" t="str">
        <x:v>home_results_period</x:v>
      </x:c>
      <x:c r="B42" s="79" t="str"/>
      <x:c r="C42" s="31" t="str">
        <x:v>Optional YYYY-MM results month. Blank follows home_period or the current Oman month.</x:v>
      </x:c>
    </x:row>
    <x:row r="43" ht="42" customHeight="1">
      <x:c r="A43" s="31" t="str">
        <x:v>config_version</x:v>
      </x:c>
      <x:c r="B43" s="31" t="str">
        <x:v>2.0</x:v>
      </x:c>
      <x:c r="C43" s="31" t="str">
        <x:v>Four weekly rounds per month, points recognition and English content. Main version 2 reads the new HomeRounds sheet.</x:v>
      </x:c>
    </x:row>
  </x:sheetData>
  <x:dataValidations count="2">
    <x:dataValidation type="whole" operator="between" sqref="B39">
      <x:formula1>0</x:formula1>
      <x:formula2>100</x:formula2>
    </x:dataValidation>
    <x:dataValidation type="whole" operator="between" sqref="B40">
      <x:formula1>0</x:formula1>
      <x:formula2>100</x:formula2>
    </x:dataValidation>
  </x:dataValidations>
  <x:hyperlinks>
    <x:hyperlink xmlns:r="http://schemas.openxmlformats.org/officeDocument/2006/relationships" ref="B9" r:id="R98f77d2394274c7b"/>
    <x:hyperlink xmlns:r="http://schemas.openxmlformats.org/officeDocument/2006/relationships" ref="B17" r:id="R44f8a6eaa3774ca3"/>
    <x:hyperlink xmlns:r="http://schemas.openxmlformats.org/officeDocument/2006/relationships" ref="B18" r:id="Rf0fbaad0bb084d8f"/>
    <x:hyperlink xmlns:r="http://schemas.openxmlformats.org/officeDocument/2006/relationships" ref="B19" r:id="R7418ced4eaa341d9"/>
    <x:hyperlink xmlns:r="http://schemas.openxmlformats.org/officeDocument/2006/relationships" ref="B20" r:id="Redb6667ff3a94669"/>
    <x:hyperlink xmlns:r="http://schemas.openxmlformats.org/officeDocument/2006/relationships" ref="B25" r:id="R9f2a4d86c4df45ea"/>
    <x:hyperlink xmlns:r="http://schemas.openxmlformats.org/officeDocument/2006/relationships" ref="B26" r:id="Re91f482c4cb14471"/>
  </x:hyperlinks>
  <x:pageMargins left="0.7" right="0.7" top="0.75" bottom="0.75" header="0.3" footer="0.3"/>
</x:worksheet>
</file>

<file path=xl/worksheets/sheet2.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customWidth="1"/>
    <x:col min="2" max="2" width="15" customWidth="1"/>
    <x:col min="3" max="5" width="12" customWidth="1"/>
  </x:cols>
  <x:sheetData>
    <x:row r="1" ht="21.950000762939453" customHeight="1">
      <x:c r="A1" s="49" t="str">
        <x:v>Rank</x:v>
      </x:c>
      <x:c r="B1" s="49" t="str">
        <x:v>Name</x:v>
      </x:c>
      <x:c r="C1" s="49" t="str">
        <x:v>EmpId</x:v>
      </x:c>
      <x:c r="D1" s="49" t="str">
        <x:v>Points</x:v>
      </x:c>
      <x:c r="E1" s="49" t="str">
        <x:v>Enabled</x:v>
      </x:c>
    </x:row>
    <x:row r="2">
      <x:c r="A2" s="3"/>
      <x:c r="B2" s="3"/>
      <x:c r="C2" s="3"/>
      <x:c r="D2" s="3"/>
      <x:c r="E2" s="3"/>
    </x:row>
    <x:row r="3">
      <x:c r="A3" s="3"/>
      <x:c r="B3" s="3"/>
      <x:c r="C3" s="3"/>
      <x:c r="D3" s="3"/>
      <x:c r="E3" s="3"/>
    </x:row>
    <x:row r="4">
      <x:c r="A4" s="3"/>
      <x:c r="B4" s="3"/>
      <x:c r="C4" s="3"/>
      <x:c r="D4" s="3"/>
      <x:c r="E4" s="3"/>
    </x:row>
  </x:sheetData>
  <x:pageMargins left="0.7" right="0.7" top="0.75" bottom="0.75" header="0.3" footer="0.3"/>
</x:worksheet>
</file>

<file path=xl/worksheets/sheet3.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customWidth="1"/>
    <x:col min="2" max="3" width="28" customWidth="1"/>
    <x:col min="4" max="5" width="52" customWidth="1"/>
    <x:col min="6" max="6" width="12" customWidth="1"/>
    <x:col min="7" max="7" width="10" customWidth="1"/>
    <x:col min="8" max="8" width="32" hidden="0" customWidth="1"/>
    <x:col min="3" max="3" width="15" hidden="0" customWidth="1"/>
    <x:col min="5" max="5" width="15" hidden="0" customWidth="1"/>
  </x:cols>
  <x:sheetData>
    <x:row r="1" ht="21.950000762939453" customHeight="1">
      <x:c r="A1" s="51" t="str">
        <x:v>Type</x:v>
      </x:c>
      <x:c r="B1" s="51" t="str">
        <x:v>Title_EN</x:v>
      </x:c>
      <x:c r="C1" s="51" t="str">
        <x:v>Title_AR</x:v>
      </x:c>
      <x:c r="D1" s="51" t="str">
        <x:v>Text_EN</x:v>
      </x:c>
      <x:c r="E1" s="51" t="str">
        <x:v>Text_AR</x:v>
      </x:c>
      <x:c r="F1" s="51" t="str">
        <x:v>Enabled</x:v>
      </x:c>
      <x:c r="G1" s="51" t="str">
        <x:v>Sort</x:v>
      </x:c>
      <x:c r="H1" s="56" t="str">
        <x:v>SourceSection</x:v>
      </x:c>
    </x:row>
    <x:row r="2" ht="57" customHeight="1">
      <x:c r="A2" s="33" t="str">
        <x:v>DO</x:v>
      </x:c>
      <x:c r="B2" s="33" t="str">
        <x:v>Complete the annual Code commitment</x:v>
      </x:c>
      <x:c r="C2" s="33" t="str"/>
      <x:c r="D2" s="33" t="str">
        <x:v>Read and follow the Code, complete the annual declaration and finish mandatory training. Optional challenges do not replace these obligations.</x:v>
      </x:c>
      <x:c r="E2" s="33" t="str"/>
      <x:c r="F2" s="53" t="b">
        <x:v>1</x:v>
      </x:c>
      <x:c r="G2" s="58" t="n">
        <x:v>1</x:v>
      </x:c>
      <x:c r="H2" s="57" t="str">
        <x:v>Code of Conduct, Section 1</x:v>
      </x:c>
    </x:row>
    <x:row r="3" ht="57" customHeight="1">
      <x:c r="A3" s="33" t="str">
        <x:v>DO</x:v>
      </x:c>
      <x:c r="B3" s="33" t="str">
        <x:v>Update HR when a conflict arises</x:v>
      </x:c>
      <x:c r="C3" s="33" t="str"/>
      <x:c r="D3" s="33" t="str">
        <x:v>Declare relevant interests annually and tell HR immediately when a conflict arises or circumstances change.</x:v>
      </x:c>
      <x:c r="E3" s="33" t="str"/>
      <x:c r="F3" s="53" t="b">
        <x:v>1</x:v>
      </x:c>
      <x:c r="G3" s="58" t="n">
        <x:v>2</x:v>
      </x:c>
      <x:c r="H3" s="57" t="str">
        <x:v>Code of Conduct, Section 5.A</x:v>
      </x:c>
    </x:row>
    <x:row r="4" ht="57" customHeight="1">
      <x:c r="A4" s="33" t="str">
        <x:v>DO</x:v>
      </x:c>
      <x:c r="B4" s="33" t="str">
        <x:v>Share information with authorised recipients</x:v>
      </x:c>
      <x:c r="C4" s="33" t="str"/>
      <x:c r="D4" s="33" t="str">
        <x:v>Use approved procedures and share confidential information only with people entitled to receive it for an authorised purpose.</x:v>
      </x:c>
      <x:c r="E4" s="33" t="str"/>
      <x:c r="F4" s="53" t="b">
        <x:v>1</x:v>
      </x:c>
      <x:c r="G4" s="58" t="n">
        <x:v>3</x:v>
      </x:c>
      <x:c r="H4" s="57" t="str">
        <x:v>Code of Conduct, Section 3.I</x:v>
      </x:c>
    </x:row>
    <x:row r="5" ht="57" customHeight="1">
      <x:c r="A5" s="33" t="str">
        <x:v>DO</x:v>
      </x:c>
      <x:c r="B5" s="33" t="str">
        <x:v>Raise a genuine concern through the official channel</x:v>
      </x:c>
      <x:c r="C5" s="33" t="str"/>
      <x:c r="D5" s="33" t="str">
        <x:v>Describe the relevant facts and use Speaking Up or the appropriate specialist reporting process.</x:v>
      </x:c>
      <x:c r="E5" s="33" t="str"/>
      <x:c r="F5" s="53" t="b">
        <x:v>1</x:v>
      </x:c>
      <x:c r="G5" s="58" t="n">
        <x:v>4</x:v>
      </x:c>
      <x:c r="H5" s="57" t="str">
        <x:v>Code of Conduct, Section 12</x:v>
      </x:c>
    </x:row>
    <x:row r="6" ht="42" customHeight="1">
      <x:c r="A6" s="33" t="str">
        <x:v>DO</x:v>
      </x:c>
      <x:c r="B6" s="33" t="str">
        <x:v>Leave fraud investigation to the authorised team</x:v>
      </x:c>
      <x:c r="C6" s="33" t="str"/>
      <x:c r="D6" s="33" t="str">
        <x:v>Report your suspicion. Do not conduct your own investigation or interview people to test it.</x:v>
      </x:c>
      <x:c r="E6" s="33" t="str"/>
      <x:c r="F6" s="53" t="b">
        <x:v>1</x:v>
      </x:c>
      <x:c r="G6" s="58" t="n">
        <x:v>5</x:v>
      </x:c>
      <x:c r="H6" s="57" t="str">
        <x:v>Code of Conduct, Section 4.E</x:v>
      </x:c>
    </x:row>
    <x:row r="7" ht="72" customHeight="1">
      <x:c r="A7" s="33" t="str">
        <x:v>DO</x:v>
      </x:c>
      <x:c r="B7" s="33" t="str">
        <x:v>Report suspicious transactions through Compliance</x:v>
      </x:c>
      <x:c r="C7" s="33" t="str"/>
      <x:c r="D7" s="33" t="str">
        <x:v>Follow suspicious transaction procedures and report to the Chief Compliance Officer. The Code lists aml@oman-arabbank.com for suspected money laundering.</x:v>
      </x:c>
      <x:c r="E7" s="33" t="str"/>
      <x:c r="F7" s="53" t="b">
        <x:v>1</x:v>
      </x:c>
      <x:c r="G7" s="58" t="n">
        <x:v>6</x:v>
      </x:c>
      <x:c r="H7" s="57" t="str">
        <x:v>Code of Conduct, Sections 4.A and 12</x:v>
      </x:c>
    </x:row>
    <x:row r="8" ht="42" customHeight="1">
      <x:c r="A8" s="33" t="str">
        <x:v>DO</x:v>
      </x:c>
      <x:c r="B8" s="33" t="str">
        <x:v>Report a suspected information security incident</x:v>
      </x:c>
      <x:c r="C8" s="33" t="str"/>
      <x:c r="D8" s="33" t="str">
        <x:v>Follow incident procedures and contact Information Security at infosec@oman-arabbank.com.</x:v>
      </x:c>
      <x:c r="E8" s="33" t="str"/>
      <x:c r="F8" s="53" t="b">
        <x:v>1</x:v>
      </x:c>
      <x:c r="G8" s="58" t="n">
        <x:v>7</x:v>
      </x:c>
      <x:c r="H8" s="57" t="str">
        <x:v>Code of Conduct, Section 6</x:v>
      </x:c>
    </x:row>
    <x:row r="9" ht="57" customHeight="1">
      <x:c r="A9" s="33" t="str">
        <x:v>DO</x:v>
      </x:c>
      <x:c r="B9" s="33" t="str">
        <x:v>Keep records accurate and transparent</x:v>
      </x:c>
      <x:c r="C9" s="33" t="str"/>
      <x:c r="D9" s="33" t="str">
        <x:v>Maintain correct records and use the approved process to correct mistakes. Do not conceal or misrepresent information.</x:v>
      </x:c>
      <x:c r="E9" s="33" t="str"/>
      <x:c r="F9" s="53" t="b">
        <x:v>1</x:v>
      </x:c>
      <x:c r="G9" s="58" t="n">
        <x:v>8</x:v>
      </x:c>
      <x:c r="H9" s="57" t="str">
        <x:v>Code of Conduct, Section 7</x:v>
      </x:c>
    </x:row>
    <x:row r="10" ht="57" customHeight="1">
      <x:c r="A10" s="33" t="str">
        <x:v>DO</x:v>
      </x:c>
      <x:c r="B10" s="33" t="str">
        <x:v>Seek guidance before an uncertain decision</x:v>
      </x:c>
      <x:c r="C10" s="33" t="str"/>
      <x:c r="D10" s="33" t="str">
        <x:v>Check the relevant policy and ask the appropriate manager or specialist function when a requirement is unclear.</x:v>
      </x:c>
      <x:c r="E10" s="33" t="str"/>
      <x:c r="F10" s="53" t="b">
        <x:v>1</x:v>
      </x:c>
      <x:c r="G10" s="58" t="n">
        <x:v>9</x:v>
      </x:c>
      <x:c r="H10" s="57" t="str">
        <x:v>Code of Conduct, Sections 1 and 5</x:v>
      </x:c>
    </x:row>
    <x:row r="11" ht="57" customHeight="1">
      <x:c r="A11" s="33" t="str">
        <x:v>DO</x:v>
      </x:c>
      <x:c r="B11" s="33" t="str">
        <x:v>Use the required approval process</x:v>
      </x:c>
      <x:c r="C11" s="33" t="str"/>
      <x:c r="D11" s="33" t="str">
        <x:v>Follow the Bank's policies, delegated authority and approval requirements when carrying out your duties.</x:v>
      </x:c>
      <x:c r="E11" s="33" t="str"/>
      <x:c r="F11" s="53" t="b">
        <x:v>1</x:v>
      </x:c>
      <x:c r="G11" s="58" t="n">
        <x:v>10</x:v>
      </x:c>
      <x:c r="H11" s="57" t="str">
        <x:v>Code of Conduct, Section 1</x:v>
      </x:c>
    </x:row>
    <x:row r="12" ht="57" customHeight="1">
      <x:c r="A12" s="33" t="str">
        <x:v>DO</x:v>
      </x:c>
      <x:c r="B12" s="33" t="str">
        <x:v>Raise concerns about harassment or discrimination</x:v>
      </x:c>
      <x:c r="C12" s="33" t="str"/>
      <x:c r="D12" s="33" t="str">
        <x:v>Use the appropriate official process to raise genuine concerns about harassment, discrimination or other misconduct.</x:v>
      </x:c>
      <x:c r="E12" s="33" t="str"/>
      <x:c r="F12" s="53" t="b">
        <x:v>1</x:v>
      </x:c>
      <x:c r="G12" s="58" t="n">
        <x:v>11</x:v>
      </x:c>
      <x:c r="H12" s="57" t="str">
        <x:v>Code of Conduct, Section 12</x:v>
      </x:c>
    </x:row>
    <x:row r="13" ht="57" customHeight="1">
      <x:c r="A13" s="33" t="str">
        <x:v>DO</x:v>
      </x:c>
      <x:c r="B13" s="33" t="str">
        <x:v>Escalate a gift that a customer insists on giving</x:v>
      </x:c>
      <x:c r="C13" s="33" t="str"/>
      <x:c r="D13" s="33" t="str">
        <x:v>Inform your Group or Division Head and hand the gift to the Head of HRD, as set out in the Code.</x:v>
      </x:c>
      <x:c r="E13" s="33" t="str"/>
      <x:c r="F13" s="53" t="b">
        <x:v>1</x:v>
      </x:c>
      <x:c r="G13" s="58" t="n">
        <x:v>12</x:v>
      </x:c>
      <x:c r="H13" s="57" t="str">
        <x:v>Code of Conduct, Section 5.C</x:v>
      </x:c>
    </x:row>
    <x:row r="14" ht="57" customHeight="1">
      <x:c r="A14" s="33" t="str">
        <x:v>DONT</x:v>
      </x:c>
      <x:c r="B14" s="33" t="str">
        <x:v>Accept a customer's cash gift</x:v>
      </x:c>
      <x:c r="C14" s="33" t="str"/>
      <x:c r="D14" s="33" t="str">
        <x:v>Cash and valuable or luxury gifts are prohibited. Follow the reporting and escalation process for offered gifts.</x:v>
      </x:c>
      <x:c r="E14" s="33" t="str"/>
      <x:c r="F14" s="53" t="b">
        <x:v>1</x:v>
      </x:c>
      <x:c r="G14" s="58" t="n">
        <x:v>13</x:v>
      </x:c>
      <x:c r="H14" s="57" t="str">
        <x:v>Code of Conduct, Section 5.C</x:v>
      </x:c>
    </x:row>
    <x:row r="15" ht="57" customHeight="1">
      <x:c r="A15" s="33" t="str">
        <x:v>DONT</x:v>
      </x:c>
      <x:c r="B15" s="33" t="str">
        <x:v>Treat OMR 25 as automatic gift approval</x:v>
      </x:c>
      <x:c r="C15" s="33" t="str"/>
      <x:c r="D15" s="33" t="str">
        <x:v>The nominal-value exception is limited and does not make every low-value gift acceptable. Check all the conditions and reporting requirements.</x:v>
      </x:c>
      <x:c r="E15" s="33" t="str"/>
      <x:c r="F15" s="53" t="b">
        <x:v>1</x:v>
      </x:c>
      <x:c r="G15" s="58" t="n">
        <x:v>14</x:v>
      </x:c>
      <x:c r="H15" s="57" t="str">
        <x:v>Code of Conduct, Section 5.C</x:v>
      </x:c>
    </x:row>
    <x:row r="16" ht="57" customHeight="1">
      <x:c r="A16" s="33" t="str">
        <x:v>DONT</x:v>
      </x:c>
      <x:c r="B16" s="33" t="str">
        <x:v>Accept a work-related gift through a family member</x:v>
      </x:c>
      <x:c r="C16" s="33" t="str"/>
      <x:c r="D16" s="33" t="str">
        <x:v>The gift rules also apply to gifts offered to family members because of your Bank duties or related relationships.</x:v>
      </x:c>
      <x:c r="E16" s="33" t="str"/>
      <x:c r="F16" s="53" t="b">
        <x:v>1</x:v>
      </x:c>
      <x:c r="G16" s="58" t="n">
        <x:v>15</x:v>
      </x:c>
      <x:c r="H16" s="57" t="str">
        <x:v>Code of Conduct, Section 5.C</x:v>
      </x:c>
    </x:row>
    <x:row r="17" ht="57" customHeight="1">
      <x:c r="A17" s="33" t="str">
        <x:v>DONT</x:v>
      </x:c>
      <x:c r="B17" s="33" t="str">
        <x:v>Wait until next year to disclose a new conflict</x:v>
      </x:c>
      <x:c r="C17" s="33" t="str"/>
      <x:c r="D17" s="33" t="str">
        <x:v>A new conflict must be reported to HR immediately. The annual declaration does not replace timely updates.</x:v>
      </x:c>
      <x:c r="E17" s="33" t="str"/>
      <x:c r="F17" s="53" t="b">
        <x:v>1</x:v>
      </x:c>
      <x:c r="G17" s="58" t="n">
        <x:v>16</x:v>
      </x:c>
      <x:c r="H17" s="57" t="str">
        <x:v>Code of Conduct, Section 5.A</x:v>
      </x:c>
    </x:row>
    <x:row r="18" ht="57" customHeight="1">
      <x:c r="A18" s="33" t="str">
        <x:v>DONT</x:v>
      </x:c>
      <x:c r="B18" s="33" t="str">
        <x:v>Assume unpaid outside employment needs no approval</x:v>
      </x:c>
      <x:c r="C18" s="33" t="str"/>
      <x:c r="D18" s="33" t="str">
        <x:v>Outside employment or trade generally needs prior written CEO approval even when unpaid. Check the Code's limited exceptions before starting.</x:v>
      </x:c>
      <x:c r="E18" s="33" t="str"/>
      <x:c r="F18" s="53" t="b">
        <x:v>1</x:v>
      </x:c>
      <x:c r="G18" s="58" t="n">
        <x:v>17</x:v>
      </x:c>
      <x:c r="H18" s="57" t="str">
        <x:v>Code of Conduct, Section 5.B</x:v>
      </x:c>
    </x:row>
    <x:row r="19" ht="57" customHeight="1">
      <x:c r="A19" s="33" t="str">
        <x:v>DONT</x:v>
      </x:c>
      <x:c r="B19" s="33" t="str">
        <x:v>Alter a record to hide a mistake</x:v>
      </x:c>
      <x:c r="C19" s="33" t="str"/>
      <x:c r="D19" s="33" t="str">
        <x:v>Do not falsify, conceal or misrepresent records or knowingly allow someone else to do so. Correct errors through the approved process.</x:v>
      </x:c>
      <x:c r="E19" s="33" t="str"/>
      <x:c r="F19" s="53" t="b">
        <x:v>1</x:v>
      </x:c>
      <x:c r="G19" s="58" t="n">
        <x:v>18</x:v>
      </x:c>
      <x:c r="H19" s="57" t="str">
        <x:v>Code of Conduct, Section 7</x:v>
      </x:c>
    </x:row>
    <x:row r="20" ht="57" customHeight="1">
      <x:c r="A20" s="33" t="str">
        <x:v>DONT</x:v>
      </x:c>
      <x:c r="B20" s="33" t="str">
        <x:v>Copy Bank information to an unapproved service</x:v>
      </x:c>
      <x:c r="C20" s="33" t="str"/>
      <x:c r="D20" s="33" t="str">
        <x:v>Protect confidential information and follow the Bank's information security and approved-system requirements.</x:v>
      </x:c>
      <x:c r="E20" s="33" t="str"/>
      <x:c r="F20" s="53" t="b">
        <x:v>1</x:v>
      </x:c>
      <x:c r="G20" s="58" t="n">
        <x:v>19</x:v>
      </x:c>
      <x:c r="H20" s="57" t="str">
        <x:v>Code of Conduct, Sections 3.I and 6</x:v>
      </x:c>
    </x:row>
    <x:row r="21" ht="57" customHeight="1">
      <x:c r="A21" s="33" t="str">
        <x:v>DONT</x:v>
      </x:c>
      <x:c r="B21" s="33" t="str">
        <x:v>Retaliate against someone who speaks up</x:v>
      </x:c>
      <x:c r="C21" s="33" t="str"/>
      <x:c r="D21" s="33" t="str">
        <x:v>Do not disadvantage a person for reporting a genuine concern, obstruct reporting or improperly reveal the person's identity.</x:v>
      </x:c>
      <x:c r="E21" s="33" t="str"/>
      <x:c r="F21" s="53" t="b">
        <x:v>1</x:v>
      </x:c>
      <x:c r="G21" s="58" t="n">
        <x:v>20</x:v>
      </x:c>
      <x:c r="H21" s="57" t="str">
        <x:v>Code of Conduct, Section 12</x:v>
      </x:c>
    </x:row>
    <x:row r="22" ht="57" customHeight="1">
      <x:c r="A22" s="33" t="str">
        <x:v>DONT</x:v>
      </x:c>
      <x:c r="B22" s="33" t="str">
        <x:v>Skip a required approval to finish faster</x:v>
      </x:c>
      <x:c r="C22" s="33" t="str"/>
      <x:c r="D22" s="33" t="str">
        <x:v>Urgency does not make the Bank's controls or policies optional. Follow the required process and seek guidance on an approved next step.</x:v>
      </x:c>
      <x:c r="E22" s="33" t="str"/>
      <x:c r="F22" s="53" t="b">
        <x:v>1</x:v>
      </x:c>
      <x:c r="G22" s="58" t="n">
        <x:v>21</x:v>
      </x:c>
      <x:c r="H22" s="57" t="str">
        <x:v>Code of Conduct, Section 1</x:v>
      </x:c>
    </x:row>
    <x:row r="23" ht="57" customHeight="1">
      <x:c r="A23" s="33" t="str">
        <x:v>DONT</x:v>
      </x:c>
      <x:c r="B23" s="33" t="str">
        <x:v>Put a confidential case in a challenge answer</x:v>
      </x:c>
      <x:c r="C23" s="33" t="str"/>
      <x:c r="D23" s="33" t="str">
        <x:v>Challenge forms are for learning responses. Use the official reporting channels for concerns and protect confidential case details.</x:v>
      </x:c>
      <x:c r="E23" s="33" t="str"/>
      <x:c r="F23" s="53" t="b">
        <x:v>1</x:v>
      </x:c>
      <x:c r="G23" s="58" t="n">
        <x:v>22</x:v>
      </x:c>
      <x:c r="H23" s="57" t="str">
        <x:v>Nazaha participation model; Code of Conduct, Sections 3.I and 12</x:v>
      </x:c>
    </x:row>
    <x:row r="24" ht="57" customHeight="1">
      <x:c r="A24" s="33" t="str">
        <x:v>DONT</x:v>
      </x:c>
      <x:c r="B24" s="33" t="str">
        <x:v>Publish Bank information without the required approval</x:v>
      </x:c>
      <x:c r="C24" s="33" t="str"/>
      <x:c r="D24" s="33" t="str">
        <x:v>Follow the public communication, media and social media requirements before sharing Bank-related information.</x:v>
      </x:c>
      <x:c r="E24" s="33" t="str"/>
      <x:c r="F24" s="53" t="b">
        <x:v>1</x:v>
      </x:c>
      <x:c r="G24" s="58" t="n">
        <x:v>23</x:v>
      </x:c>
      <x:c r="H24" s="57" t="str">
        <x:v>Code of Conduct, Sections 8 and 9</x:v>
      </x:c>
    </x:row>
    <x:row r="25" ht="57" customHeight="1">
      <x:c r="A25" s="33" t="str">
        <x:v>DONT</x:v>
      </x:c>
      <x:c r="B25" s="33" t="str">
        <x:v>Interview colleagues to investigate suspected fraud</x:v>
      </x:c>
      <x:c r="C25" s="33" t="str"/>
      <x:c r="D25" s="33" t="str">
        <x:v>Do not conduct your own fraud investigation. Raise the facts through the official route and let the authorised team review the concern.</x:v>
      </x:c>
      <x:c r="E25" s="33" t="str"/>
      <x:c r="F25" s="53" t="b">
        <x:v>1</x:v>
      </x:c>
      <x:c r="G25" s="58" t="n">
        <x:v>24</x:v>
      </x:c>
      <x:c r="H25" s="57" t="str">
        <x:v>Code of Conduct, Section 4.E</x:v>
      </x:c>
    </x:row>
  </x:sheetData>
  <x:dataValidations count="1">
    <x:dataValidation type="list" sqref="F2:F25">
      <x:formula1>"TRUE,FALSE"</x:formula1>
    </x:dataValidation>
  </x:dataValidations>
  <x:pageMargins left="0.7" right="0.7" top="0.75" bottom="0.75" header="0.3" footer="0.3"/>
</x:worksheet>
</file>

<file path=xl/worksheets/sheet4.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customWidth="1"/>
    <x:col min="2" max="3" width="34" customWidth="1"/>
    <x:col min="4" max="5" width="58" customWidth="1"/>
    <x:col min="6" max="6" width="12" customWidth="1"/>
    <x:col min="7" max="7" width="10" customWidth="1"/>
    <x:col min="8" max="8" width="32" hidden="0" customWidth="1"/>
    <x:col min="3" max="3" width="15" hidden="0" customWidth="1"/>
    <x:col min="5" max="5" width="15" hidden="0" customWidth="1"/>
    <x:col min="4" max="4" width="76" hidden="0" customWidth="1"/>
  </x:cols>
  <x:sheetData>
    <x:row r="1" ht="21.950000762939453" customHeight="1">
      <x:c r="A1" s="51" t="str">
        <x:v>Category</x:v>
      </x:c>
      <x:c r="B1" s="51" t="str">
        <x:v>Question_EN</x:v>
      </x:c>
      <x:c r="C1" s="51" t="str">
        <x:v>Question_AR</x:v>
      </x:c>
      <x:c r="D1" s="51" t="str">
        <x:v>Answer_EN</x:v>
      </x:c>
      <x:c r="E1" s="51" t="str">
        <x:v>Answer_AR</x:v>
      </x:c>
      <x:c r="F1" s="51" t="str">
        <x:v>Enabled</x:v>
      </x:c>
      <x:c r="G1" s="51" t="str">
        <x:v>Sort</x:v>
      </x:c>
      <x:c r="H1" s="56" t="str">
        <x:v>SourceSection</x:v>
      </x:c>
    </x:row>
    <x:row r="2" ht="57" customHeight="1">
      <x:c r="A2" s="33" t="str">
        <x:v>General</x:v>
      </x:c>
      <x:c r="B2" s="33" t="str">
        <x:v>What is Nazaha?</x:v>
      </x:c>
      <x:c r="C2" s="33" t="str"/>
      <x:c r="D2" s="33" t="str">
        <x:v>Nazaha is the Bank's integrity and ethics initiative. The portal brings together practical guidance, awareness content, the Nazaha team and learning activities.</x:v>
      </x:c>
      <x:c r="E2" s="33" t="str"/>
      <x:c r="F2" s="53" t="b">
        <x:v>1</x:v>
      </x:c>
      <x:c r="G2" s="58" t="n">
        <x:v>1</x:v>
      </x:c>
      <x:c r="H2" s="57" t="str">
        <x:v>Nazaha portal content</x:v>
      </x:c>
    </x:row>
    <x:row r="3" ht="72" customHeight="1">
      <x:c r="A3" s="33" t="str">
        <x:v>Monthly Challenge</x:v>
      </x:c>
      <x:c r="B3" s="33" t="str">
        <x:v>How does the new monthly programme work?</x:v>
      </x:c>
      <x:c r="C3" s="33" t="str"/>
      <x:c r="D3" s="33" t="str">
        <x:v>The programme has four short rounds each month, opening weekly. Visit the challenge page for the published schedule and use the official form for each open round. A round becomes available when its form and dates are published.</x:v>
      </x:c>
      <x:c r="E3" s="33" t="str"/>
      <x:c r="F3" s="53" t="b">
        <x:v>1</x:v>
      </x:c>
      <x:c r="G3" s="58" t="n">
        <x:v>2</x:v>
      </x:c>
      <x:c r="H3" s="57" t="str">
        <x:v>Nazaha participation model</x:v>
      </x:c>
    </x:row>
    <x:row r="4" ht="57" customHeight="1">
      <x:c r="A4" s="33" t="str">
        <x:v>Participation</x:v>
      </x:c>
      <x:c r="B4" s="33" t="str">
        <x:v>Are the monthly challenges mandatory?</x:v>
      </x:c>
      <x:c r="C4" s="33" t="str"/>
      <x:c r="D4" s="33" t="str">
        <x:v>The monthly challenges are voluntary learning activities. They do not replace your obligations to follow the Code of Conduct, complete the annual declaration and complete mandatory training.</x:v>
      </x:c>
      <x:c r="E4" s="33" t="str"/>
      <x:c r="F4" s="53" t="b">
        <x:v>1</x:v>
      </x:c>
      <x:c r="G4" s="58" t="n">
        <x:v>3</x:v>
      </x:c>
      <x:c r="H4" s="57" t="str">
        <x:v>Nazaha participation model; Code of Conduct, Section 1</x:v>
      </x:c>
    </x:row>
    <x:row r="5" ht="90" customHeight="1">
      <x:c r="A5" s="33" t="str">
        <x:v>Points</x:v>
      </x:c>
      <x:c r="B5" s="33" t="str">
        <x:v>How do I earn points in a round?</x:v>
      </x:c>
      <x:c r="C5" s="33" t="str"/>
      <x:c r="D5" s="33" t="str">
        <x:f>"Earn "&amp;'Settings'!$B$39&amp;" points for one eligible response, plus "&amp;'Settings'!$B$40&amp;" additional points for the correct answer. The maximum is "&amp;('Settings'!$B$39+'Settings'!$B$40)&amp;" points per round. Use your work account and submit within the published round window."</x:f>
        <x:v>Earn 5 points for one eligible response, plus 5 additional points for the correct answer. The maximum is 10 points per round. Use your work account and submit within the published round window.</x:v>
      </x:c>
      <x:c r="E5" s="33" t="str"/>
      <x:c r="F5" s="53" t="b">
        <x:v>1</x:v>
      </x:c>
      <x:c r="G5" s="58" t="n">
        <x:v>4</x:v>
      </x:c>
      <x:c r="H5" s="57" t="str">
        <x:v>Settings.home_participation_points; Settings.home_accuracy_points</x:v>
      </x:c>
    </x:row>
    <x:row r="6" ht="90" customHeight="1">
      <x:c r="A6" s="33" t="str">
        <x:v>Points</x:v>
      </x:c>
      <x:c r="B6" s="33" t="str">
        <x:v>What is the maximum monthly score?</x:v>
      </x:c>
      <x:c r="C6" s="33" t="str"/>
      <x:c r="D6" s="33" t="str">
        <x:f>"There are four rounds per month. With the current rules, each round offers up to "&amp;('Settings'!$B$39+'Settings'!$B$40)&amp;" points, giving a maximum of "&amp;(4*('Settings'!$B$39+'Settings'!$B$40))&amp;" points per month."</x:f>
        <x:v>There are four rounds per month. With the current rules, each round offers up to 10 points, giving a maximum of 40 points per month.</x:v>
      </x:c>
      <x:c r="E6" s="33" t="str"/>
      <x:c r="F6" s="53" t="b">
        <x:v>1</x:v>
      </x:c>
      <x:c r="G6" s="58" t="n">
        <x:v>5</x:v>
      </x:c>
      <x:c r="H6" s="57" t="str">
        <x:v>Four rounds; Settings point inputs</x:v>
      </x:c>
    </x:row>
    <x:row r="7" ht="90" customHeight="1">
      <x:c r="A7" s="33" t="str">
        <x:v>Points</x:v>
      </x:c>
      <x:c r="B7" s="33" t="str">
        <x:v>Do I receive points if my answer is incorrect?</x:v>
      </x:c>
      <x:c r="C7" s="33" t="str"/>
      <x:c r="D7" s="33" t="str">
        <x:f>"An eligible response earns "&amp;'Settings'!$B$39&amp;" participation points. The additional "&amp;'Settings'!$B$40&amp;" accuracy points are awarded only for a correct answer."</x:f>
        <x:v>An eligible response earns 5 participation points. The additional 5 accuracy points are awarded only for a correct answer.</x:v>
      </x:c>
      <x:c r="E7" s="33" t="str"/>
      <x:c r="F7" s="53" t="b">
        <x:v>1</x:v>
      </x:c>
      <x:c r="G7" s="58" t="n">
        <x:v>6</x:v>
      </x:c>
      <x:c r="H7" s="57" t="str">
        <x:v>Settings.home_participation_points; Settings.home_accuracy_points</x:v>
      </x:c>
    </x:row>
    <x:row r="8" ht="57" customHeight="1">
      <x:c r="A8" s="33" t="str">
        <x:v>Points</x:v>
      </x:c>
      <x:c r="B8" s="33" t="str">
        <x:v>When will my points appear?</x:v>
      </x:c>
      <x:c r="C8" s="33" t="str"/>
      <x:c r="D8" s="33" t="str">
        <x:v>Points appear after the response has been validated and the results have been published. A form submission confirmation does not mean the leaderboard has already refreshed. Check the published reporting period.</x:v>
      </x:c>
      <x:c r="E8" s="33" t="str"/>
      <x:c r="F8" s="53" t="b">
        <x:v>1</x:v>
      </x:c>
      <x:c r="G8" s="58" t="n">
        <x:v>7</x:v>
      </x:c>
      <x:c r="H8" s="57" t="str">
        <x:v>Nazaha participation model</x:v>
      </x:c>
    </x:row>
    <x:row r="9" ht="57" customHeight="1">
      <x:c r="A9" s="33" t="str">
        <x:v>Participation</x:v>
      </x:c>
      <x:c r="B9" s="33" t="str">
        <x:v>Can I submit more than once to increase my score?</x:v>
      </x:c>
      <x:c r="C9" s="33" t="str"/>
      <x:c r="D9" s="33" t="str">
        <x:v>Only the first eligible response for your work account and that round counts. Reopening the form, refreshing the page or repeating a response does not earn additional points.</x:v>
      </x:c>
      <x:c r="E9" s="33" t="str"/>
      <x:c r="F9" s="53" t="b">
        <x:v>1</x:v>
      </x:c>
      <x:c r="G9" s="58" t="n">
        <x:v>8</x:v>
      </x:c>
      <x:c r="H9" s="57" t="str">
        <x:v>Nazaha participation model</x:v>
      </x:c>
    </x:row>
    <x:row r="10" ht="57" customHeight="1">
      <x:c r="A10" s="33" t="str">
        <x:v>Monthly Challenge</x:v>
      </x:c>
      <x:c r="B10" s="33" t="str">
        <x:v>When does a round open and close?</x:v>
      </x:c>
      <x:c r="C10" s="33" t="str"/>
      <x:c r="D10" s="33" t="str">
        <x:v>Each round follows its published opening and closing times. The portal displays times in Oman time, GST, UTC+04:00. Use the form during the open window.</x:v>
      </x:c>
      <x:c r="E10" s="33" t="str"/>
      <x:c r="F10" s="53" t="b">
        <x:v>1</x:v>
      </x:c>
      <x:c r="G10" s="58" t="n">
        <x:v>9</x:v>
      </x:c>
      <x:c r="H10" s="57" t="str">
        <x:v>HomeRounds.OpenAt; HomeRounds.CloseAt</x:v>
      </x:c>
    </x:row>
    <x:row r="11" ht="57" customHeight="1">
      <x:c r="A11" s="33" t="str">
        <x:v>Monthly Challenge</x:v>
      </x:c>
      <x:c r="B11" s="33" t="str">
        <x:v>Why is a round marked as upcoming or unavailable?</x:v>
      </x:c>
      <x:c r="C11" s="33" t="str"/>
      <x:c r="D11" s="33" t="str">
        <x:v>An upcoming round has not opened yet. A round without published dates and a working form is not ready to accept entries. The challenge page will show the next available activity when it is published.</x:v>
      </x:c>
      <x:c r="E11" s="33" t="str"/>
      <x:c r="F11" s="53" t="b">
        <x:v>1</x:v>
      </x:c>
      <x:c r="G11" s="58" t="n">
        <x:v>10</x:v>
      </x:c>
      <x:c r="H11" s="57" t="str">
        <x:v>HomeRounds configuration</x:v>
      </x:c>
    </x:row>
    <x:row r="12" ht="57" customHeight="1">
      <x:c r="A12" s="33" t="str">
        <x:v>Participation</x:v>
      </x:c>
      <x:c r="B12" s="33" t="str">
        <x:v>What if I miss a round?</x:v>
      </x:c>
      <x:c r="C12" s="33" t="str"/>
      <x:c r="D12" s="33" t="str">
        <x:v>You can join the next available round. Points are based on eligible responses within each published window. A missed round does not prevent you from taking part in later rounds.</x:v>
      </x:c>
      <x:c r="E12" s="33" t="str"/>
      <x:c r="F12" s="53" t="b">
        <x:v>1</x:v>
      </x:c>
      <x:c r="G12" s="58" t="n">
        <x:v>11</x:v>
      </x:c>
      <x:c r="H12" s="57" t="str">
        <x:v>Nazaha participation model</x:v>
      </x:c>
    </x:row>
    <x:row r="13" ht="57" customHeight="1">
      <x:c r="A13" s="33" t="str">
        <x:v>Participation</x:v>
      </x:c>
      <x:c r="B13" s="33" t="str">
        <x:v>Which account should I use?</x:v>
      </x:c>
      <x:c r="C13" s="33" t="str"/>
      <x:c r="D13" s="33" t="str">
        <x:v>Use your Bank work account in the official challenge form. Your verified account identifies your entry. Do not submit using a colleague's account or include customer information in challenge answers.</x:v>
      </x:c>
      <x:c r="E13" s="33" t="str"/>
      <x:c r="F13" s="53" t="b">
        <x:v>1</x:v>
      </x:c>
      <x:c r="G13" s="58" t="n">
        <x:v>12</x:v>
      </x:c>
      <x:c r="H13" s="57" t="str">
        <x:v>Nazaha participation model</x:v>
      </x:c>
    </x:row>
    <x:row r="14" ht="57" customHeight="1">
      <x:c r="A14" s="33" t="str">
        <x:v>Points</x:v>
      </x:c>
      <x:c r="B14" s="33" t="str">
        <x:v>Do page visits, downloads or practice activities earn points?</x:v>
      </x:c>
      <x:c r="C14" s="33" t="str"/>
      <x:c r="D14" s="33" t="str">
        <x:v>Points in this programme come from eligible challenge responses. Browsing the portal, watching media, opening the Code of Conduct and using the Integrity Guide do not award challenge points.</x:v>
      </x:c>
      <x:c r="E14" s="33" t="str"/>
      <x:c r="F14" s="53" t="b">
        <x:v>1</x:v>
      </x:c>
      <x:c r="G14" s="58" t="n">
        <x:v>13</x:v>
      </x:c>
      <x:c r="H14" s="57" t="str">
        <x:v>Nazaha participation model</x:v>
      </x:c>
    </x:row>
    <x:row r="15" ht="72" customHeight="1">
      <x:c r="A15" s="33" t="str">
        <x:v>Speaking Up</x:v>
      </x:c>
      <x:c r="B15" s="33" t="str">
        <x:v>Do Speaking Up reports earn monthly challenge points?</x:v>
      </x:c>
      <x:c r="C15" s="33" t="str"/>
      <x:c r="D15" s="33" t="str">
        <x:v>No. Reporting concerns is separate from this learning programme and its public rankings. Code of Conduct Section 13 provides for a separate, discretionary reward determined by the CEO after the relevant procedures. No reward or amount is promised by this portal.</x:v>
      </x:c>
      <x:c r="E15" s="33" t="str"/>
      <x:c r="F15" s="53" t="b">
        <x:v>1</x:v>
      </x:c>
      <x:c r="G15" s="58" t="n">
        <x:v>14</x:v>
      </x:c>
      <x:c r="H15" s="57" t="str">
        <x:v>Code of Conduct, Sections 12 and 13; Nazaha participation model</x:v>
      </x:c>
    </x:row>
    <x:row r="16" ht="57" customHeight="1">
      <x:c r="A16" s="33" t="str">
        <x:v>Recognition</x:v>
      </x:c>
      <x:c r="B16" s="33" t="str">
        <x:v>Are there cash prizes, vouchers or gifts for challenge points?</x:v>
      </x:c>
      <x:c r="C16" s="33" t="str"/>
      <x:c r="D16" s="33" t="str">
        <x:v>The monthly learning programme offers recognition through points and published names. It does not offer cash prizes, vouchers or gifts.</x:v>
      </x:c>
      <x:c r="E16" s="33" t="str"/>
      <x:c r="F16" s="53" t="b">
        <x:v>1</x:v>
      </x:c>
      <x:c r="G16" s="58" t="n">
        <x:v>15</x:v>
      </x:c>
      <x:c r="H16" s="57" t="str">
        <x:v>Nazaha participation model</x:v>
      </x:c>
    </x:row>
    <x:row r="17" ht="57" customHeight="1">
      <x:c r="A17" s="33" t="str">
        <x:v>Recognition</x:v>
      </x:c>
      <x:c r="B17" s="33" t="str">
        <x:v>Where can I find the top participants?</x:v>
      </x:c>
      <x:c r="C17" s="33" t="str"/>
      <x:c r="D17" s="33" t="str">
        <x:v>The home page highlights the top three published participants. The Challenges and Leaderboard page is the destination for the top ten and the results archive. Names appear after results are verified and published.</x:v>
      </x:c>
      <x:c r="E17" s="33" t="str"/>
      <x:c r="F17" s="53" t="b">
        <x:v>1</x:v>
      </x:c>
      <x:c r="G17" s="58" t="n">
        <x:v>16</x:v>
      </x:c>
      <x:c r="H17" s="57" t="str">
        <x:v>Nazaha portal publication model</x:v>
      </x:c>
    </x:row>
    <x:row r="18" ht="72" customHeight="1">
      <x:c r="A18" s="33" t="str">
        <x:v>Recognition</x:v>
      </x:c>
      <x:c r="B18" s="33" t="str">
        <x:v>How are quarterly points calculated?</x:v>
      </x:c>
      <x:c r="C18" s="33" t="str"/>
      <x:c r="D18" s="33" t="str">
        <x:v>Quarterly totals add the eligible points earned during the three calendar months in that quarter. Monthly scores are included once. A new quarter starts a new total, while previously published results remain in the archive.</x:v>
      </x:c>
      <x:c r="E18" s="33" t="str"/>
      <x:c r="F18" s="53" t="b">
        <x:v>1</x:v>
      </x:c>
      <x:c r="G18" s="58" t="n">
        <x:v>17</x:v>
      </x:c>
      <x:c r="H18" s="57" t="str">
        <x:v>Nazaha participation model</x:v>
      </x:c>
    </x:row>
    <x:row r="19" ht="57" customHeight="1">
      <x:c r="A19" s="33" t="str">
        <x:v>Recognition</x:v>
      </x:c>
      <x:c r="B19" s="33" t="str">
        <x:v>How are leaderboard results checked?</x:v>
      </x:c>
      <x:c r="C19" s="33" t="str"/>
      <x:c r="D19" s="33" t="str">
        <x:v>Results are checked against the official response records before publication. Duplicate or ineligible submissions do not count. If a score is corrected, the affected totals and standings must be updated together.</x:v>
      </x:c>
      <x:c r="E19" s="33" t="str"/>
      <x:c r="F19" s="53" t="b">
        <x:v>1</x:v>
      </x:c>
      <x:c r="G19" s="58" t="n">
        <x:v>18</x:v>
      </x:c>
      <x:c r="H19" s="57" t="str">
        <x:v>Nazaha participation model</x:v>
      </x:c>
    </x:row>
    <x:row r="20" ht="57" customHeight="1">
      <x:c r="A20" s="33" t="str">
        <x:v>Points</x:v>
      </x:c>
      <x:c r="B20" s="33" t="str">
        <x:v>Do points reset every month?</x:v>
      </x:c>
      <x:c r="C20" s="33" t="str"/>
      <x:c r="D20" s="33" t="str">
        <x:v>Each month has its own score. Previous monthly scores remain part of the relevant quarterly total and published history. They are not added again as new points in the next month.</x:v>
      </x:c>
      <x:c r="E20" s="33" t="str"/>
      <x:c r="F20" s="53" t="b">
        <x:v>1</x:v>
      </x:c>
      <x:c r="G20" s="58" t="n">
        <x:v>19</x:v>
      </x:c>
      <x:c r="H20" s="57" t="str">
        <x:v>Nazaha participation model</x:v>
      </x:c>
    </x:row>
    <x:row r="21" ht="72" customHeight="1">
      <x:c r="A21" s="33" t="str">
        <x:v>Points</x:v>
      </x:c>
      <x:c r="B21" s="33" t="str">
        <x:v>Do the old activity categories and annual points threshold still apply?</x:v>
      </x:c>
      <x:c r="C21" s="33" t="str"/>
      <x:c r="D21" s="33" t="str">
        <x:v>The new programme uses four monthly rounds and the published response scoring rules. Previous activity categories and the annual recognition threshold are not used to score these rounds. Any genuine historical results should remain in their original reporting period.</x:v>
      </x:c>
      <x:c r="E21" s="33" t="str"/>
      <x:c r="F21" s="53" t="b">
        <x:v>1</x:v>
      </x:c>
      <x:c r="G21" s="58" t="n">
        <x:v>20</x:v>
      </x:c>
      <x:c r="H21" s="57" t="str">
        <x:v>Nazaha participation model</x:v>
      </x:c>
    </x:row>
    <x:row r="22" ht="57" customHeight="1">
      <x:c r="A22" s="33" t="str">
        <x:v>Support</x:v>
      </x:c>
      <x:c r="B22" s="33" t="str">
        <x:v>What should I do if my published score looks incorrect?</x:v>
      </x:c>
      <x:c r="C22" s="33" t="str"/>
      <x:c r="D22" s="33" t="str">
        <x:v>Contact the Nazaha team with your work account, the round and the submission date. The team can check the response record. Avoid sending customer data or details of a confidential concern as part of a points enquiry.</x:v>
      </x:c>
      <x:c r="E22" s="33" t="str"/>
      <x:c r="F22" s="53" t="b">
        <x:v>1</x:v>
      </x:c>
      <x:c r="G22" s="58" t="n">
        <x:v>21</x:v>
      </x:c>
      <x:c r="H22" s="57" t="str">
        <x:v>Nazaha participation model</x:v>
      </x:c>
    </x:row>
    <x:row r="23" ht="72" customHeight="1">
      <x:c r="A23" s="33" t="str">
        <x:v>General</x:v>
      </x:c>
      <x:c r="B23" s="33" t="str">
        <x:v>Where can I find guidance and the official Code of Conduct?</x:v>
      </x:c>
      <x:c r="C23" s="33" t="str"/>
      <x:c r="D23" s="33" t="str">
        <x:v>Use Integrity Q&amp;A for common questions, the Integrity Guide for practice, Speaking Up for reporting guidance and the Media Hub for the official English Code of Conduct. Read the relevant policy before acting when a situation needs more detail.</x:v>
      </x:c>
      <x:c r="E23" s="33" t="str"/>
      <x:c r="F23" s="53" t="b">
        <x:v>1</x:v>
      </x:c>
      <x:c r="G23" s="58" t="n">
        <x:v>22</x:v>
      </x:c>
      <x:c r="H23" s="57" t="str">
        <x:v>Nazaha portal navigation</x:v>
      </x:c>
    </x:row>
    <x:row r="24" ht="57" customHeight="1">
      <x:c r="A24" s="33" t="str">
        <x:v>Code of Conduct</x:v>
      </x:c>
      <x:c r="B24" s="33" t="str">
        <x:v>What does the annual Code of Conduct commitment require?</x:v>
      </x:c>
      <x:c r="C24" s="33" t="str"/>
      <x:c r="D24" s="33" t="str">
        <x:v>Employees must read, understand and follow the Code of Conduct, complete the annual declaration and complete mandatory training. Participation in a Nazaha challenge does not replace these requirements.</x:v>
      </x:c>
      <x:c r="E24" s="33" t="str"/>
      <x:c r="F24" s="53" t="b">
        <x:v>1</x:v>
      </x:c>
      <x:c r="G24" s="58" t="n">
        <x:v>23</x:v>
      </x:c>
      <x:c r="H24" s="57" t="str">
        <x:v>Code of Conduct, Section 1</x:v>
      </x:c>
    </x:row>
    <x:row r="25" ht="57" customHeight="1">
      <x:c r="A25" s="33" t="str">
        <x:v>Speaking Up</x:v>
      </x:c>
      <x:c r="B25" s="33" t="str">
        <x:v>What concerns can be raised through Speaking Up?</x:v>
      </x:c>
      <x:c r="C25" s="33" t="str"/>
      <x:c r="D25" s="33" t="str">
        <x:v>Examples include suspected fraud, corruption, policy breaches, harassment, discrimination, misuse of Bank assets and threats to safety. Concerns may relate to past, current or potential wrongdoing.</x:v>
      </x:c>
      <x:c r="E25" s="33" t="str"/>
      <x:c r="F25" s="53" t="b">
        <x:v>1</x:v>
      </x:c>
      <x:c r="G25" s="58" t="n">
        <x:v>24</x:v>
      </x:c>
      <x:c r="H25" s="57" t="str">
        <x:v>Code of Conduct, Section 12</x:v>
      </x:c>
    </x:row>
    <x:row r="26" ht="57" customHeight="1">
      <x:c r="A26" s="33" t="str">
        <x:v>Speaking Up</x:v>
      </x:c>
      <x:c r="B26" s="33" t="str">
        <x:v>How do I raise a Speaking Up concern?</x:v>
      </x:c>
      <x:c r="C26" s="33" t="str"/>
      <x:c r="D26" s="33" t="str">
        <x:v>Use the official Speaking Up channel at speakingup@oman-arabbank.com. Describe the concern and relevant facts clearly. Speaking Up is an escalation route and does not replace specialist reporting procedures.</x:v>
      </x:c>
      <x:c r="E26" s="33" t="str"/>
      <x:c r="F26" s="53" t="b">
        <x:v>1</x:v>
      </x:c>
      <x:c r="G26" s="58" t="n">
        <x:v>25</x:v>
      </x:c>
      <x:c r="H26" s="57" t="str">
        <x:v>Code of Conduct, Section 12</x:v>
      </x:c>
    </x:row>
    <x:row r="27" ht="57" customHeight="1">
      <x:c r="A27" s="33" t="str">
        <x:v>Speaking Up</x:v>
      </x:c>
      <x:c r="B27" s="33" t="str">
        <x:v>Should I investigate suspected misconduct myself?</x:v>
      </x:c>
      <x:c r="C27" s="33" t="str"/>
      <x:c r="D27" s="33" t="str">
        <x:v>Do not conduct your own fraud investigation or interview people to test a suspicion. Report the concern through the appropriate channel and allow the authorised team to assess and investigate it.</x:v>
      </x:c>
      <x:c r="E27" s="33" t="str"/>
      <x:c r="F27" s="53" t="b">
        <x:v>1</x:v>
      </x:c>
      <x:c r="G27" s="58" t="n">
        <x:v>26</x:v>
      </x:c>
      <x:c r="H27" s="57" t="str">
        <x:v>Code of Conduct, Section 4.E</x:v>
      </x:c>
    </x:row>
    <x:row r="28" ht="57" customHeight="1">
      <x:c r="A28" s="33" t="str">
        <x:v>Speaking Up</x:v>
      </x:c>
      <x:c r="B28" s="33" t="str">
        <x:v>Must I prove the concern before reporting it?</x:v>
      </x:c>
      <x:c r="C28" s="33" t="str"/>
      <x:c r="D28" s="33" t="str">
        <x:v>Raise a genuine concern when you have reasonable grounds. Share relevant supporting evidence already available to you, where appropriate. Do not delay reporting to conduct your own investigation.</x:v>
      </x:c>
      <x:c r="E28" s="33" t="str"/>
      <x:c r="F28" s="53" t="b">
        <x:v>1</x:v>
      </x:c>
      <x:c r="G28" s="58" t="n">
        <x:v>27</x:v>
      </x:c>
      <x:c r="H28" s="57" t="str">
        <x:v>Code of Conduct, Sections 4.E and 12</x:v>
      </x:c>
    </x:row>
    <x:row r="29" ht="57" customHeight="1">
      <x:c r="A29" s="33" t="str">
        <x:v>Confidentiality</x:v>
      </x:c>
      <x:c r="B29" s="33" t="str">
        <x:v>Is a Speaking Up email anonymous?</x:v>
      </x:c>
      <x:c r="C29" s="33" t="str"/>
      <x:c r="D29" s="33" t="str">
        <x:v>Sending an email does not by itself make your identity anonymous. Reports and investigation details are shared on a need-to-know basis, and anonymity cannot be guaranteed if legal proceedings follow.</x:v>
      </x:c>
      <x:c r="E29" s="33" t="str"/>
      <x:c r="F29" s="53" t="b">
        <x:v>1</x:v>
      </x:c>
      <x:c r="G29" s="58" t="n">
        <x:v>28</x:v>
      </x:c>
      <x:c r="H29" s="57" t="str">
        <x:v>Code of Conduct, Section 12</x:v>
      </x:c>
    </x:row>
    <x:row r="30" ht="72" customHeight="1">
      <x:c r="A30" s="33" t="str">
        <x:v>Speaking Up</x:v>
      </x:c>
      <x:c r="B30" s="33" t="str">
        <x:v>What if a concern raised in good faith is not confirmed?</x:v>
      </x:c>
      <x:c r="C30" s="33" t="str"/>
      <x:c r="D30" s="33" t="str">
        <x:v>A genuine concern is different from a deliberately false or malicious allegation. The Code protects good-faith reporting and states that a person is not punished for a genuine fraud suspicion that is not substantiated.</x:v>
      </x:c>
      <x:c r="E30" s="33" t="str"/>
      <x:c r="F30" s="53" t="b">
        <x:v>1</x:v>
      </x:c>
      <x:c r="G30" s="58" t="n">
        <x:v>29</x:v>
      </x:c>
      <x:c r="H30" s="57" t="str">
        <x:v>Code of Conduct, Sections 4.E and 12</x:v>
      </x:c>
    </x:row>
    <x:row r="31" ht="57" customHeight="1">
      <x:c r="A31" s="33" t="str">
        <x:v>Speaking Up</x:v>
      </x:c>
      <x:c r="B31" s="33" t="str">
        <x:v>Can anyone retaliate against a person who raises a concern?</x:v>
      </x:c>
      <x:c r="C31" s="33" t="str"/>
      <x:c r="D31" s="33" t="str">
        <x:v>Retaliation, obstructing a report and improperly revealing a reporter's identity are not acceptable. Raise a concern about such conduct through the official channel.</x:v>
      </x:c>
      <x:c r="E31" s="33" t="str"/>
      <x:c r="F31" s="53" t="b">
        <x:v>1</x:v>
      </x:c>
      <x:c r="G31" s="58" t="n">
        <x:v>30</x:v>
      </x:c>
      <x:c r="H31" s="57" t="str">
        <x:v>Code of Conduct, Section 12</x:v>
      </x:c>
    </x:row>
    <x:row r="32" ht="72" customHeight="1">
      <x:c r="A32" s="33" t="str">
        <x:v>Reporting Channels</x:v>
      </x:c>
      <x:c r="B32" s="33" t="str">
        <x:v>Where should suspected money laundering or a suspicious customer transaction be reported?</x:v>
      </x:c>
      <x:c r="C32" s="33" t="str"/>
      <x:c r="D32" s="33" t="str">
        <x:v>Follow the Bank's suspicious transaction reporting procedures and report to the Chief Compliance Officer. The Code lists aml@oman-arabbank.com for suspected money laundering. Do not put transaction details in a public challenge form or a suggestion box.</x:v>
      </x:c>
      <x:c r="E32" s="33" t="str"/>
      <x:c r="F32" s="53" t="b">
        <x:v>1</x:v>
      </x:c>
      <x:c r="G32" s="58" t="n">
        <x:v>31</x:v>
      </x:c>
      <x:c r="H32" s="57" t="str">
        <x:v>Code of Conduct, Sections 4.A and 12</x:v>
      </x:c>
    </x:row>
    <x:row r="33" ht="72" customHeight="1">
      <x:c r="A33" s="33" t="str">
        <x:v>Reporting Channels</x:v>
      </x:c>
      <x:c r="B33" s="33" t="str">
        <x:v>Where should I raise a work-related grievance?</x:v>
      </x:c>
      <x:c r="C33" s="33" t="str"/>
      <x:c r="D33" s="33" t="str">
        <x:v>Follow the employee grievance process, including the steps with your line manager or relevant division or department described in the Code. The grievance mailbox is employeerelations@oman-arabbank.com. This process is separate from the Speaking Up escalation route.</x:v>
      </x:c>
      <x:c r="E33" s="33" t="str"/>
      <x:c r="F33" s="53" t="b">
        <x:v>1</x:v>
      </x:c>
      <x:c r="G33" s="58" t="n">
        <x:v>32</x:v>
      </x:c>
      <x:c r="H33" s="57" t="str">
        <x:v>Code of Conduct, Section 11</x:v>
      </x:c>
    </x:row>
    <x:row r="34" ht="72" customHeight="1">
      <x:c r="A34" s="33" t="str">
        <x:v>Information Security</x:v>
      </x:c>
      <x:c r="B34" s="33" t="str">
        <x:v>Where should I report a suspected information security incident?</x:v>
      </x:c>
      <x:c r="C34" s="33" t="str"/>
      <x:c r="D34" s="33" t="str">
        <x:v>Report a suspected incident affecting the confidentiality, integrity or availability of Bank systems or information to the Information Security Division at infosec@oman-arabbank.com, following the applicable incident procedures.</x:v>
      </x:c>
      <x:c r="E34" s="33" t="str"/>
      <x:c r="F34" s="53" t="b">
        <x:v>1</x:v>
      </x:c>
      <x:c r="G34" s="58" t="n">
        <x:v>33</x:v>
      </x:c>
      <x:c r="H34" s="57" t="str">
        <x:v>Code of Conduct, Section 6</x:v>
      </x:c>
    </x:row>
    <x:row r="35" ht="72" customHeight="1">
      <x:c r="A35" s="33" t="str">
        <x:v>Conflicts of Interest</x:v>
      </x:c>
      <x:c r="B35" s="33" t="str">
        <x:v>What is a conflict of interest?</x:v>
      </x:c>
      <x:c r="C35" s="33" t="str"/>
      <x:c r="D35" s="33" t="str">
        <x:v>A conflict can arise when a personal interest or relationship could affect your professional judgement or the Bank's interests. Be transparent about relevant interests involving yourself or related parties and follow the declaration process.</x:v>
      </x:c>
      <x:c r="E35" s="33" t="str"/>
      <x:c r="F35" s="53" t="b">
        <x:v>1</x:v>
      </x:c>
      <x:c r="G35" s="58" t="n">
        <x:v>34</x:v>
      </x:c>
      <x:c r="H35" s="57" t="str">
        <x:v>Code of Conduct, Section 5.A</x:v>
      </x:c>
    </x:row>
    <x:row r="36" ht="57" customHeight="1">
      <x:c r="A36" s="33" t="str">
        <x:v>Conflicts of Interest</x:v>
      </x:c>
      <x:c r="B36" s="33" t="str">
        <x:v>Is an annual conflict declaration enough if my circumstances change?</x:v>
      </x:c>
      <x:c r="C36" s="33" t="str"/>
      <x:c r="D36" s="33" t="str">
        <x:v>Complete the annual declaration and inform HR immediately when a conflict arises or relevant circumstances change. Do not wait for the next annual declaration.</x:v>
      </x:c>
      <x:c r="E36" s="33" t="str"/>
      <x:c r="F36" s="53" t="b">
        <x:v>1</x:v>
      </x:c>
      <x:c r="G36" s="58" t="n">
        <x:v>35</x:v>
      </x:c>
      <x:c r="H36" s="57" t="str">
        <x:v>Code of Conduct, Section 5.A</x:v>
      </x:c>
    </x:row>
    <x:row r="37" ht="72" customHeight="1">
      <x:c r="A37" s="33" t="str">
        <x:v>Outside Work</x:v>
      </x:c>
      <x:c r="B37" s="33" t="str">
        <x:v>Can I take outside work if it is unpaid?</x:v>
      </x:c>
      <x:c r="C37" s="33" t="str"/>
      <x:c r="D37" s="33" t="str">
        <x:v>Outside employment or trade generally requires prior written approval from the CEO, even if unpaid. The Code describes limited exceptions for certain honorary or occasional activities that do not interfere with Bank duties. Check the full requirements before starting.</x:v>
      </x:c>
      <x:c r="E37" s="33" t="str"/>
      <x:c r="F37" s="53" t="b">
        <x:v>1</x:v>
      </x:c>
      <x:c r="G37" s="58" t="n">
        <x:v>36</x:v>
      </x:c>
      <x:c r="H37" s="57" t="str">
        <x:v>Code of Conduct, Section 5.B</x:v>
      </x:c>
    </x:row>
    <x:row r="38" ht="87" customHeight="1">
      <x:c r="A38" s="33" t="str">
        <x:v>Gifts</x:v>
      </x:c>
      <x:c r="B38" s="33" t="str">
        <x:v>Can I automatically accept any gift worth OMR 25 or less?</x:v>
      </x:c>
      <x:c r="C38" s="33" t="str"/>
      <x:c r="D38" s="33" t="str">
        <x:v>No. The Code describes a limited exception for unsolicited gifts of nominal value not exceeding OMR 25, such as dates or confectionery that can be shared with colleagues at work. This is not blanket approval for any gift below that amount. Follow the reporting requirements and the Anti-Bribery and Anti-Corruption Policy.</x:v>
      </x:c>
      <x:c r="E38" s="33" t="str"/>
      <x:c r="F38" s="53" t="b">
        <x:v>1</x:v>
      </x:c>
      <x:c r="G38" s="58" t="n">
        <x:v>37</x:v>
      </x:c>
      <x:c r="H38" s="57" t="str">
        <x:v>Code of Conduct, Section 5.C</x:v>
      </x:c>
    </x:row>
    <x:row r="39" ht="57" customHeight="1">
      <x:c r="A39" s="33" t="str">
        <x:v>Gifts</x:v>
      </x:c>
      <x:c r="B39" s="33" t="str">
        <x:v>What if a customer insists on giving me a gift?</x:v>
      </x:c>
      <x:c r="C39" s="33" t="str"/>
      <x:c r="D39" s="33" t="str">
        <x:v>Inform your Group or Division Head and hand the gift to the Head of HRD, as required by the Code. Do not decide on personal acceptance simply because the customer insists.</x:v>
      </x:c>
      <x:c r="E39" s="33" t="str"/>
      <x:c r="F39" s="53" t="b">
        <x:v>1</x:v>
      </x:c>
      <x:c r="G39" s="58" t="n">
        <x:v>38</x:v>
      </x:c>
      <x:c r="H39" s="57" t="str">
        <x:v>Code of Conduct, Section 5.C</x:v>
      </x:c>
    </x:row>
    <x:row r="40" ht="57" customHeight="1">
      <x:c r="A40" s="33" t="str">
        <x:v>Gifts</x:v>
      </x:c>
      <x:c r="B40" s="33" t="str">
        <x:v>Do the gift rules apply to my family?</x:v>
      </x:c>
      <x:c r="C40" s="33" t="str"/>
      <x:c r="D40" s="33" t="str">
        <x:v>Yes. The rules also cover gifts to family members arising from relationships linked to your Bank duties. A family connection does not remove the disclosure or acceptance requirements.</x:v>
      </x:c>
      <x:c r="E40" s="33" t="str"/>
      <x:c r="F40" s="53" t="b">
        <x:v>1</x:v>
      </x:c>
      <x:c r="G40" s="58" t="n">
        <x:v>39</x:v>
      </x:c>
      <x:c r="H40" s="57" t="str">
        <x:v>Code of Conduct, Section 5.C</x:v>
      </x:c>
    </x:row>
    <x:row r="41" ht="57" customHeight="1">
      <x:c r="A41" s="33" t="str">
        <x:v>Gifts</x:v>
      </x:c>
      <x:c r="B41" s="33" t="str">
        <x:v>Can I accept a small cash gift or a luxury item from a customer?</x:v>
      </x:c>
      <x:c r="C41" s="33" t="str"/>
      <x:c r="D41" s="33" t="str">
        <x:v>The Code prohibits accepting cash and valuable or luxury gift items. A gift that could influence your decision is also prohibited. Follow the official reporting and escalation process.</x:v>
      </x:c>
      <x:c r="E41" s="33" t="str"/>
      <x:c r="F41" s="53" t="b">
        <x:v>1</x:v>
      </x:c>
      <x:c r="G41" s="58" t="n">
        <x:v>40</x:v>
      </x:c>
      <x:c r="H41" s="57" t="str">
        <x:v>Code of Conduct, Section 5.C</x:v>
      </x:c>
    </x:row>
    <x:row r="42" ht="72" customHeight="1">
      <x:c r="A42" s="33" t="str">
        <x:v>Confidentiality</x:v>
      </x:c>
      <x:c r="B42" s="33" t="str">
        <x:v>Can I share confidential information with any colleague?</x:v>
      </x:c>
      <x:c r="C42" s="33" t="str"/>
      <x:c r="D42" s="33" t="str">
        <x:v>A colleague's employment at the Bank does not automatically authorise access to every record. Share information only for an authorised purpose and with people who are entitled to receive it, using approved procedures.</x:v>
      </x:c>
      <x:c r="E42" s="33" t="str"/>
      <x:c r="F42" s="53" t="b">
        <x:v>1</x:v>
      </x:c>
      <x:c r="G42" s="58" t="n">
        <x:v>41</x:v>
      </x:c>
      <x:c r="H42" s="57" t="str">
        <x:v>Code of Conduct, Section 3.I</x:v>
      </x:c>
    </x:row>
    <x:row r="43" ht="57" customHeight="1">
      <x:c r="A43" s="33" t="str">
        <x:v>Records</x:v>
      </x:c>
      <x:c r="B43" s="33" t="str">
        <x:v>Can I change a record to make a result or approval look better?</x:v>
      </x:c>
      <x:c r="C43" s="33" t="str"/>
      <x:c r="D43" s="33" t="str">
        <x:v>Records and reports must be accurate and transparent. Do not falsify, misrepresent or knowingly allow incorrect documentation. Follow the approved process for correcting an error.</x:v>
      </x:c>
      <x:c r="E43" s="33" t="str"/>
      <x:c r="F43" s="53" t="b">
        <x:v>1</x:v>
      </x:c>
      <x:c r="G43" s="58" t="n">
        <x:v>42</x:v>
      </x:c>
      <x:c r="H43" s="57" t="str">
        <x:v>Code of Conduct, Section 7</x:v>
      </x:c>
    </x:row>
    <x:row r="44" ht="72" customHeight="1">
      <x:c r="A44" s="33" t="str">
        <x:v>Communication</x:v>
      </x:c>
      <x:c r="B44" s="33" t="str">
        <x:v>Can I make public statements or share Bank information online?</x:v>
      </x:c>
      <x:c r="C44" s="33" t="str"/>
      <x:c r="D44" s="33" t="str">
        <x:v>Follow the Bank's approval procedures for public statements, media requests and events. Do not publish unapproved Bank information or discuss Bank matters on social media outside the applicable policies and guidelines.</x:v>
      </x:c>
      <x:c r="E44" s="33" t="str"/>
      <x:c r="F44" s="53" t="b">
        <x:v>1</x:v>
      </x:c>
      <x:c r="G44" s="58" t="n">
        <x:v>43</x:v>
      </x:c>
      <x:c r="H44" s="57" t="str">
        <x:v>Code of Conduct, Sections 8 and 9</x:v>
      </x:c>
    </x:row>
    <x:row r="45" ht="72" customHeight="1">
      <x:c r="A45" s="33" t="str">
        <x:v>Integrity</x:v>
      </x:c>
      <x:c r="B45" s="33" t="str">
        <x:v>What should I do when I am unsure about an ethical decision?</x:v>
      </x:c>
      <x:c r="C45" s="33" t="str"/>
      <x:c r="D45" s="33" t="str">
        <x:v>Pause and check the Code of Conduct and the relevant policy. Seek guidance from your manager or the appropriate specialist function before acting. Use the official reporting channel when the issue is a concern that should be raised.</x:v>
      </x:c>
      <x:c r="E45" s="33" t="str"/>
      <x:c r="F45" s="53" t="b">
        <x:v>1</x:v>
      </x:c>
      <x:c r="G45" s="58" t="n">
        <x:v>44</x:v>
      </x:c>
      <x:c r="H45" s="57" t="str">
        <x:v>Code of Conduct, Sections 1, 5 and 12</x:v>
      </x:c>
    </x:row>
  </x:sheetData>
  <x:dataValidations count="1">
    <x:dataValidation type="list" sqref="F2:F45">
      <x:formula1>"TRUE,FALSE"</x:formula1>
    </x:dataValidation>
  </x:dataValidations>
  <x:pageMargins left="0.7" right="0.7" top="0.75" bottom="0.75" header="0.3" footer="0.3"/>
</x:worksheet>
</file>

<file path=xl/worksheets/sheet5.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4" customWidth="1"/>
    <x:col min="2" max="2" width="38" customWidth="1"/>
    <x:col min="3" max="3" width="14" customWidth="1"/>
    <x:col min="4" max="4" width="64.28515625" customWidth="1"/>
  </x:cols>
  <x:sheetData>
    <x:row r="1">
      <x:c r="A1" s="1" t="s">
        <x:v>0</x:v>
      </x:c>
      <x:c r="B1" s="1" t="s">
        <x:v>1</x:v>
      </x:c>
      <x:c r="C1" s="1" t="s">
        <x:v>2</x:v>
      </x:c>
      <x:c r="D1" s="1" t="s">
        <x:v>3</x:v>
      </x:c>
    </x:row>
    <x:row r="2">
      <x:c r="A2" t="s">
        <x:v>4</x:v>
      </x:c>
      <x:c r="B2" t="s">
        <x:v>5</x:v>
      </x:c>
      <x:c r="C2" s="5" t="s">
        <x:v>6</x:v>
      </x:c>
      <x:c r="D2" t="s">
        <x:v>7</x:v>
      </x:c>
    </x:row>
    <x:row r="3">
      <x:c r="A3" t="s">
        <x:v>8</x:v>
      </x:c>
      <x:c r="B3" t="s">
        <x:v>9</x:v>
      </x:c>
      <x:c r="C3" s="5">
        <x:v>1397</x:v>
      </x:c>
      <x:c r="D3" s="4" t="s">
        <x:v>10</x:v>
      </x:c>
    </x:row>
    <x:row r="4">
      <x:c r="A4" t="s">
        <x:v>8</x:v>
      </x:c>
      <x:c r="B4" t="s">
        <x:v>11</x:v>
      </x:c>
      <x:c r="C4" s="5" t="s">
        <x:v>12</x:v>
      </x:c>
      <x:c r="D4" s="4" t="s">
        <x:v>13</x:v>
      </x:c>
    </x:row>
    <x:row r="5">
      <x:c r="A5" t="s">
        <x:v>8</x:v>
      </x:c>
      <x:c r="B5" t="s">
        <x:v>14</x:v>
      </x:c>
      <x:c r="C5" s="5" t="s">
        <x:v>15</x:v>
      </x:c>
      <x:c r="D5" t="s">
        <x:v>16</x:v>
      </x:c>
    </x:row>
    <x:row r="6">
      <x:c r="A6" t="s">
        <x:v>8</x:v>
      </x:c>
      <x:c r="B6" t="s">
        <x:v>17</x:v>
      </x:c>
      <x:c r="C6" s="5" t="s">
        <x:v>18</x:v>
      </x:c>
      <x:c r="D6" t="s">
        <x:v>19</x:v>
      </x:c>
    </x:row>
    <x:row r="7">
      <x:c r="A7" t="s">
        <x:v>8</x:v>
      </x:c>
      <x:c r="B7" t="s">
        <x:v>20</x:v>
      </x:c>
      <x:c r="C7" s="5" t="s">
        <x:v>21</x:v>
      </x:c>
      <x:c r="D7" s="4" t="s">
        <x:v>22</x:v>
      </x:c>
    </x:row>
    <x:row r="8">
      <x:c r="A8" t="s">
        <x:v>8</x:v>
      </x:c>
      <x:c r="B8" t="s">
        <x:v>23</x:v>
      </x:c>
      <x:c r="C8" s="5" t="s">
        <x:v>24</x:v>
      </x:c>
      <x:c r="D8" s="4" t="s">
        <x:v>25</x:v>
      </x:c>
    </x:row>
  </x:sheetData>
  <x:hyperlinks>
    <x:hyperlink xmlns:r="http://schemas.openxmlformats.org/officeDocument/2006/relationships" ref="D3" r:id="Rbf808fc1ffc14134"/>
    <x:hyperlink xmlns:r="http://schemas.openxmlformats.org/officeDocument/2006/relationships" ref="D4" r:id="R0bb41f5da4c04214"/>
    <x:hyperlink xmlns:r="http://schemas.openxmlformats.org/officeDocument/2006/relationships" ref="D7" r:id="R34d2fefc72ef4cea"/>
    <x:hyperlink xmlns:r="http://schemas.openxmlformats.org/officeDocument/2006/relationships" ref="D8" r:id="Rf275e5d180954b99"/>
  </x:hyperlinks>
  <x:pageMargins left="0.7" right="0.7" top="0.75" bottom="0.75" header="0.3" footer="0.3"/>
</x:worksheet>
</file>

<file path=xl/worksheets/sheet6.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2" customWidth="1"/>
    <x:col min="2" max="2" width="8" customWidth="1"/>
    <x:col min="3" max="3" width="38" customWidth="1"/>
    <x:col min="4" max="4" width="14" customWidth="1"/>
    <x:col min="5" max="5" width="10" customWidth="1"/>
  </x:cols>
  <x:sheetData>
    <x:row r="1">
      <x:c r="A1" s="62" t="str">
        <x:v>BoardType</x:v>
      </x:c>
      <x:c r="B1" s="63" t="str">
        <x:v>Rank</x:v>
      </x:c>
      <x:c r="C1" s="63" t="str">
        <x:v>Name</x:v>
      </x:c>
      <x:c r="D1" s="63" t="str">
        <x:v>EmployeeID</x:v>
      </x:c>
      <x:c r="E1" s="64" t="str">
        <x:v>Points</x:v>
      </x:c>
    </x:row>
    <x:row r="2">
      <x:c r="A2" s="17"/>
      <x:c r="B2" s="18"/>
      <x:c r="C2" s="19"/>
      <x:c r="D2" s="19"/>
      <x:c r="E2" s="20"/>
    </x:row>
    <x:row r="3">
      <x:c r="A3" s="21"/>
      <x:c r="B3" s="22"/>
      <x:c r="C3" s="23"/>
      <x:c r="D3" s="23"/>
      <x:c r="E3" s="24"/>
    </x:row>
    <x:row r="4">
      <x:c r="A4" s="21"/>
      <x:c r="B4" s="22"/>
      <x:c r="C4" s="23"/>
      <x:c r="D4" s="23"/>
      <x:c r="E4" s="24"/>
    </x:row>
    <x:row r="5">
      <x:c r="A5" s="21"/>
      <x:c r="B5" s="22"/>
      <x:c r="C5" s="23"/>
      <x:c r="D5" s="23"/>
      <x:c r="E5" s="24"/>
    </x:row>
    <x:row r="6">
      <x:c r="A6" s="21"/>
      <x:c r="B6" s="22"/>
      <x:c r="C6" s="23"/>
      <x:c r="D6" s="23"/>
      <x:c r="E6" s="24"/>
    </x:row>
    <x:row r="7">
      <x:c r="A7" s="21"/>
      <x:c r="B7" s="22"/>
      <x:c r="C7" s="23"/>
      <x:c r="D7" s="23"/>
      <x:c r="E7" s="24"/>
    </x:row>
    <x:row r="8">
      <x:c r="A8" s="21"/>
      <x:c r="B8" s="22"/>
      <x:c r="C8" s="23"/>
      <x:c r="D8" s="23"/>
      <x:c r="E8" s="24"/>
    </x:row>
    <x:row r="9">
      <x:c r="A9" s="21"/>
      <x:c r="B9" s="22"/>
      <x:c r="C9" s="23"/>
      <x:c r="D9" s="23"/>
      <x:c r="E9" s="24"/>
    </x:row>
    <x:row r="10">
      <x:c r="A10" s="21"/>
      <x:c r="B10" s="22"/>
      <x:c r="C10" s="23"/>
      <x:c r="D10" s="23"/>
      <x:c r="E10" s="24"/>
    </x:row>
    <x:row r="11">
      <x:c r="A11" s="21"/>
      <x:c r="B11" s="22"/>
      <x:c r="C11" s="23"/>
      <x:c r="D11" s="23"/>
      <x:c r="E11" s="24"/>
    </x:row>
    <x:row r="12">
      <x:c r="A12" s="21"/>
      <x:c r="B12" s="22"/>
      <x:c r="C12" s="23"/>
      <x:c r="D12" s="23"/>
      <x:c r="E12" s="24"/>
    </x:row>
    <x:row r="13">
      <x:c r="A13" s="21"/>
      <x:c r="B13" s="22"/>
      <x:c r="C13" s="23"/>
      <x:c r="D13" s="23"/>
      <x:c r="E13" s="24"/>
    </x:row>
    <x:row r="14">
      <x:c r="A14" s="21"/>
      <x:c r="B14" s="22"/>
      <x:c r="C14" s="23"/>
      <x:c r="D14" s="23"/>
      <x:c r="E14" s="24"/>
    </x:row>
    <x:row r="15">
      <x:c r="A15" s="25"/>
      <x:c r="B15" s="26"/>
      <x:c r="C15" s="27"/>
      <x:c r="D15" s="27"/>
      <x:c r="E15" s="28"/>
    </x:row>
  </x:sheetData>
  <x:dataValidations count="3">
    <x:dataValidation type="whole" errorStyle="warning" allowBlank="1" showErrorMessage="1" errorTitle="Invalid Points" error="Points must be a whole number." sqref="E2:E15">
      <x:formula1>0</x:formula1>
      <x:formula2>999999</x:formula2>
    </x:dataValidation>
    <x:dataValidation type="whole" errorStyle="warning" allowBlank="1" showErrorMessage="1" errorTitle="Invalid Rank" error="Rank must be a whole number." sqref="B2:B15">
      <x:formula1>1</x:formula1>
      <x:formula2>999</x:formula2>
    </x:dataValidation>
    <x:dataValidation errorStyle="warning" showErrorMessage="1" errorTitle="Invalid BoardType" error="Use Monthly or Quarterly only." sqref="A2:A15"/>
  </x:dataValidations>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4" customWidth="1"/>
    <x:col min="2" max="2" width="8" customWidth="1"/>
    <x:col min="3" max="3" width="30" customWidth="1"/>
    <x:col min="4" max="4" width="14" customWidth="1"/>
    <x:col min="5" max="5" width="10" customWidth="1"/>
  </x:cols>
  <x:sheetData>
    <x:row r="1">
      <x:c r="A1" s="66" t="str">
        <x:v>Month</x:v>
      </x:c>
      <x:c r="B1" s="66" t="str">
        <x:v>Rank</x:v>
      </x:c>
      <x:c r="C1" s="66" t="str">
        <x:v>Name</x:v>
      </x:c>
      <x:c r="D1" s="66" t="str">
        <x:v>EmployeeID</x:v>
      </x:c>
      <x:c r="E1" s="66" t="str">
        <x:v>Points</x:v>
      </x:c>
    </x:row>
    <x:row r="2">
      <x:c r="A2"/>
      <x:c r="B2"/>
      <x:c r="C2"/>
      <x:c r="D2"/>
      <x:c r="E2"/>
    </x:row>
    <x:row r="3">
      <x:c r="A3"/>
      <x:c r="B3"/>
      <x:c r="C3"/>
      <x:c r="D3"/>
      <x:c r="E3"/>
    </x:row>
    <x:row r="4">
      <x:c r="A4"/>
      <x:c r="B4"/>
      <x:c r="C4"/>
      <x:c r="D4"/>
      <x:c r="E4"/>
    </x:row>
    <x:row r="5">
      <x:c r="A5"/>
      <x:c r="B5"/>
      <x:c r="C5"/>
      <x:c r="D5"/>
      <x:c r="E5"/>
    </x:row>
    <x:row r="6">
      <x:c r="A6"/>
      <x:c r="B6"/>
      <x:c r="C6"/>
      <x:c r="D6"/>
      <x:c r="E6"/>
    </x:row>
    <x:row r="7">
      <x:c r="A7"/>
      <x:c r="B7"/>
      <x:c r="C7"/>
      <x:c r="D7"/>
      <x:c r="E7"/>
    </x:row>
    <x:row r="8">
      <x:c r="A8"/>
      <x:c r="B8"/>
      <x:c r="C8"/>
      <x:c r="D8"/>
      <x:c r="E8"/>
    </x:row>
    <x:row r="9">
      <x:c r="A9"/>
      <x:c r="B9"/>
      <x:c r="C9"/>
      <x:c r="D9"/>
      <x:c r="E9"/>
    </x:row>
    <x:row r="10">
      <x:c r="A10"/>
      <x:c r="B10"/>
      <x:c r="C10"/>
      <x:c r="D10"/>
      <x:c r="E10"/>
    </x:row>
    <x:row r="11">
      <x:c r="A11"/>
      <x:c r="B11"/>
      <x:c r="C11"/>
      <x:c r="D11"/>
      <x:c r="E11"/>
    </x:row>
    <x:row r="12">
      <x:c r="A12"/>
      <x:c r="B12"/>
      <x:c r="C12"/>
      <x:c r="D12"/>
      <x:c r="E12"/>
    </x:row>
    <x:row r="13">
      <x:c r="A13"/>
      <x:c r="B13"/>
      <x:c r="C13"/>
      <x:c r="D13"/>
      <x:c r="E13"/>
    </x:row>
    <x:row r="14">
      <x:c r="A14"/>
      <x:c r="B14"/>
      <x:c r="C14"/>
      <x:c r="D14"/>
      <x:c r="E14"/>
    </x:row>
    <x:row r="15">
      <x:c r="A15"/>
      <x:c r="B15"/>
      <x:c r="C15"/>
      <x:c r="D15"/>
      <x:c r="E15"/>
    </x:row>
    <x:row r="16">
      <x:c r="A16"/>
      <x:c r="B16"/>
      <x:c r="C16"/>
      <x:c r="D16"/>
      <x:c r="E16"/>
    </x:row>
    <x:row r="17">
      <x:c r="A17"/>
      <x:c r="B17"/>
      <x:c r="C17"/>
      <x:c r="D17"/>
      <x:c r="E17"/>
    </x:row>
    <x:row r="18">
      <x:c r="A18"/>
      <x:c r="B18"/>
      <x:c r="C18"/>
      <x:c r="D18"/>
      <x:c r="E18"/>
    </x:row>
    <x:row r="19">
      <x:c r="A19"/>
      <x:c r="B19"/>
      <x:c r="C19"/>
      <x:c r="D19"/>
      <x:c r="E19"/>
    </x:row>
    <x:row r="20">
      <x:c r="A20"/>
      <x:c r="B20"/>
      <x:c r="C20"/>
      <x:c r="D20"/>
      <x:c r="E20"/>
    </x:row>
    <x:row r="21">
      <x:c r="A21"/>
      <x:c r="B21"/>
      <x:c r="C21"/>
      <x:c r="D21"/>
      <x:c r="E21"/>
    </x:row>
    <x:row r="22">
      <x:c r="A22"/>
      <x:c r="B22"/>
      <x:c r="C22"/>
      <x:c r="D22"/>
      <x:c r="E22"/>
    </x:row>
    <x:row r="23">
      <x:c r="A23"/>
      <x:c r="B23"/>
      <x:c r="C23"/>
      <x:c r="D23"/>
      <x:c r="E23"/>
    </x:row>
    <x:row r="24">
      <x:c r="A24"/>
      <x:c r="B24"/>
      <x:c r="C24"/>
      <x:c r="D24"/>
      <x:c r="E24"/>
    </x:row>
    <x:row r="25">
      <x:c r="A25"/>
      <x:c r="B25"/>
      <x:c r="C25"/>
      <x:c r="D25"/>
      <x:c r="E25"/>
    </x:row>
    <x:row r="26">
      <x:c r="A26"/>
      <x:c r="B26"/>
      <x:c r="C26"/>
      <x:c r="D26"/>
      <x:c r="E26"/>
    </x:row>
    <x:row r="27">
      <x:c r="A27"/>
      <x:c r="B27"/>
      <x:c r="C27"/>
      <x:c r="D27"/>
      <x:c r="E27"/>
    </x:row>
    <x:row r="28">
      <x:c r="A28"/>
      <x:c r="B28"/>
      <x:c r="C28"/>
      <x:c r="D28"/>
      <x:c r="E28"/>
    </x:row>
    <x:row r="29">
      <x:c r="A29"/>
      <x:c r="B29"/>
      <x:c r="C29"/>
      <x:c r="D29"/>
      <x:c r="E29"/>
    </x:row>
    <x:row r="30">
      <x:c r="A30"/>
      <x:c r="B30"/>
      <x:c r="C30"/>
      <x:c r="D30"/>
      <x:c r="E30"/>
    </x:row>
    <x:row r="31">
      <x:c r="A31"/>
      <x:c r="B31"/>
      <x:c r="C31"/>
      <x:c r="D31"/>
      <x:c r="E31"/>
    </x:row>
    <x:row r="32">
      <x:c r="A32"/>
      <x:c r="B32"/>
      <x:c r="C32"/>
      <x:c r="D32"/>
      <x:c r="E32"/>
    </x:row>
    <x:row r="33">
      <x:c r="A33"/>
      <x:c r="B33"/>
      <x:c r="C33"/>
      <x:c r="D33"/>
      <x:c r="E33"/>
    </x:row>
    <x:row r="34">
      <x:c r="A34"/>
      <x:c r="B34"/>
      <x:c r="C34"/>
      <x:c r="D34"/>
      <x:c r="E34"/>
    </x:row>
    <x:row r="35">
      <x:c r="A35"/>
      <x:c r="B35"/>
      <x:c r="C35"/>
      <x:c r="D35"/>
      <x:c r="E35"/>
    </x:row>
    <x:row r="36">
      <x:c r="A36"/>
      <x:c r="B36"/>
      <x:c r="C36"/>
      <x:c r="D36"/>
      <x:c r="E36"/>
    </x:row>
    <x:row r="37">
      <x:c r="A37"/>
      <x:c r="B37"/>
      <x:c r="C37"/>
      <x:c r="D37"/>
      <x:c r="E37"/>
    </x:row>
  </x:sheetData>
  <x:pageMargins left="0.7" right="0.7" top="0.75" bottom="0.75" header="0.3" footer="0.3"/>
</x:worksheet>
</file>

<file path=xl/worksheets/sheet8.xml><?xml version="1.0" encoding="utf-8"?>
<x:worksheet xmlns:x="http://schemas.openxmlformats.org/spreadsheetml/2006/main">
  <x:sheetPr>
    <x:tabColor rgb="FF0B5A8A"/>
  </x:sheetPr>
  <x:sheetViews>
    <x:sheetView showGridLines="0" workbookViewId="0"/>
  </x:sheetViews>
  <x:sheetFormatPr defaultRowHeight="15"/>
  <x:cols>
    <x:col min="1" max="1" width="9" hidden="0" customWidth="1"/>
    <x:col min="2" max="2" width="14" hidden="0" customWidth="1"/>
    <x:col min="3" max="3" width="30" hidden="0" customWidth="1"/>
    <x:col min="4" max="4" width="49" hidden="0" customWidth="1"/>
    <x:col min="5" max="5" width="45" hidden="0" customWidth="1"/>
    <x:col min="6" max="6" width="31" hidden="0" customWidth="1"/>
    <x:col min="7" max="7" width="31" hidden="0" customWidth="1"/>
    <x:col min="8" max="8" width="12" hidden="0" customWidth="1"/>
  </x:cols>
  <x:sheetData>
    <x:row r="1" ht="26" customHeight="1">
      <x:c r="A1" s="74" t="str">
        <x:v>Round</x:v>
      </x:c>
      <x:c r="B1" s="74" t="str">
        <x:v>Period</x:v>
      </x:c>
      <x:c r="C1" s="74" t="str">
        <x:v>Title</x:v>
      </x:c>
      <x:c r="D1" s="74" t="str">
        <x:v>Description</x:v>
      </x:c>
      <x:c r="E1" s="74" t="str">
        <x:v>Url</x:v>
      </x:c>
      <x:c r="F1" s="74" t="str">
        <x:v>OpenAt</x:v>
      </x:c>
      <x:c r="G1" s="74" t="str">
        <x:v>CloseAt</x:v>
      </x:c>
      <x:c r="H1" s="74" t="str">
        <x:v>Enabled</x:v>
      </x:c>
    </x:row>
    <x:row r="2" ht="42" customHeight="1">
      <x:c r="A2" s="78" t="n">
        <x:v>1</x:v>
      </x:c>
      <x:c r="B2" s="77" t="str"/>
      <x:c r="C2" s="31" t="str">
        <x:v>What Would You Do?</x:v>
      </x:c>
      <x:c r="D2" s="31" t="str">
        <x:v>Choose your next step when you notice a control being bypassed.</x:v>
      </x:c>
      <x:c r="E2" s="77" t="str"/>
      <x:c r="F2" s="77" t="str"/>
      <x:c r="G2" s="77" t="str"/>
      <x:c r="H2" s="71" t="b">
        <x:v>1</x:v>
      </x:c>
    </x:row>
    <x:row r="3" ht="42" customHeight="1">
      <x:c r="A3" s="78" t="n">
        <x:v>2</x:v>
      </x:c>
      <x:c r="B3" s="77" t="str"/>
      <x:c r="C3" s="31" t="str">
        <x:v>Spot the Red Flag</x:v>
      </x:c>
      <x:c r="D3" s="31" t="str">
        <x:v>Recognise a confidentiality risk when a concern is being reviewed.</x:v>
      </x:c>
      <x:c r="E3" s="77" t="str"/>
      <x:c r="F3" s="77" t="str"/>
      <x:c r="G3" s="77" t="str"/>
      <x:c r="H3" s="71" t="b">
        <x:v>1</x:v>
      </x:c>
    </x:row>
    <x:row r="4" ht="42" customHeight="1">
      <x:c r="A4" s="78" t="n">
        <x:v>3</x:v>
      </x:c>
      <x:c r="B4" s="77" t="str"/>
      <x:c r="C4" s="31" t="str">
        <x:v>Myth or Fact</x:v>
      </x:c>
      <x:c r="D4" s="31" t="str">
        <x:v>Check what good-faith reporting requires before you raise a concern.</x:v>
      </x:c>
      <x:c r="E4" s="77" t="str"/>
      <x:c r="F4" s="77" t="str"/>
      <x:c r="G4" s="77" t="str"/>
      <x:c r="H4" s="71" t="b">
        <x:v>1</x:v>
      </x:c>
    </x:row>
    <x:row r="5" ht="42" customHeight="1">
      <x:c r="A5" s="78" t="n">
        <x:v>4</x:v>
      </x:c>
      <x:c r="B5" s="77" t="str"/>
      <x:c r="C5" s="31" t="str">
        <x:v>Put It into Practice</x:v>
      </x:c>
      <x:c r="D5" s="31" t="str">
        <x:v>Choose the correct route for a suspicious customer transaction.</x:v>
      </x:c>
      <x:c r="E5" s="77" t="str"/>
      <x:c r="F5" s="77" t="str"/>
      <x:c r="G5" s="77" t="str"/>
      <x:c r="H5" s="71" t="b">
        <x:v>1</x:v>
      </x:c>
    </x:row>
  </x:sheetData>
  <x:dataValidations count="1">
    <x:dataValidation type="list" sqref="H2:H5">
      <x:formula1>"TRUE,FALSE"</x:formula1>
    </x:dataValidation>
  </x:dataValidations>
  <x:pageMargins left="0.7" right="0.7" top="0.75" bottom="0.75" header="0.3" footer="0.3"/>
  <x:tableParts count="1">
    <x:tablePart xmlns:r="http://schemas.openxmlformats.org/officeDocument/2006/relationships" r:id="R66e38181bfbe4453"/>
  </x:tableParts>
</x:worksheet>
</file>

<file path=xl/worksheets/sheet9.xml><?xml version="1.0" encoding="utf-8"?>
<x:worksheet xmlns:x="http://schemas.openxmlformats.org/spreadsheetml/2006/main">
  <x:sheetPr>
    <x:tabColor rgb="FF0B5A8A"/>
  </x:sheetPr>
  <x:sheetViews>
    <x:sheetView showGridLines="0" workbookViewId="0"/>
  </x:sheetViews>
  <x:sheetFormatPr defaultRowHeight="15"/>
  <x:cols>
    <x:col min="1" max="1" width="9" hidden="0" customWidth="1"/>
    <x:col min="2" max="2" width="24" hidden="0" customWidth="1"/>
    <x:col min="3" max="3" width="62" hidden="0" customWidth="1"/>
    <x:col min="4" max="4" width="48" hidden="0" customWidth="1"/>
    <x:col min="5" max="5" width="48" hidden="0" customWidth="1"/>
    <x:col min="6" max="6" width="48" hidden="0" customWidth="1"/>
    <x:col min="7" max="7" width="34" hidden="0" customWidth="1"/>
    <x:col min="8" max="8" width="15" hidden="0" customWidth="1"/>
  </x:cols>
  <x:sheetData>
    <x:row r="1" ht="26" customHeight="1">
      <x:c r="A1" s="74" t="str">
        <x:v>Round</x:v>
      </x:c>
      <x:c r="B1" s="74" t="str">
        <x:v>QuestionID</x:v>
      </x:c>
      <x:c r="C1" s="74" t="str">
        <x:v>Question_EN</x:v>
      </x:c>
      <x:c r="D1" s="74" t="str">
        <x:v>Option_A</x:v>
      </x:c>
      <x:c r="E1" s="74" t="str">
        <x:v>Option_B</x:v>
      </x:c>
      <x:c r="F1" s="74" t="str">
        <x:v>Option_C</x:v>
      </x:c>
      <x:c r="G1" s="74" t="str">
        <x:v>SourceSection</x:v>
      </x:c>
      <x:c r="H1" s="74" t="str">
        <x:v>Status</x:v>
      </x:c>
    </x:row>
    <x:row r="2" ht="42" customHeight="1">
      <x:c r="A2" s="78" t="n">
        <x:v>1</x:v>
      </x:c>
      <x:c r="B2" s="31" t="str">
        <x:v>SPEAK-R1-Q1</x:v>
      </x:c>
      <x:c r="C2" s="31" t="str">
        <x:v>You notice a required approval being bypassed to finish a task faster. What is the best next step?</x:v>
      </x:c>
      <x:c r="D2" s="31" t="str">
        <x:v>Ignore it because the task is urgent.</x:v>
      </x:c>
      <x:c r="E2" s="31" t="str">
        <x:v>Raise the relevant facts through the appropriate official channel.</x:v>
      </x:c>
      <x:c r="F2" s="31" t="str">
        <x:v>Interview colleagues and investigate the matter yourself before reporting it.</x:v>
      </x:c>
      <x:c r="G2" s="31" t="str">
        <x:v>Code of Conduct, Sections 4.E and 12</x:v>
      </x:c>
      <x:c r="H2" s="79" t="str">
        <x:v>Draft</x:v>
      </x:c>
    </x:row>
    <x:row r="3" ht="42" customHeight="1">
      <x:c r="A3" s="78" t="n">
        <x:v>2</x:v>
      </x:c>
      <x:c r="B3" s="31" t="str">
        <x:v>SPEAK-R2-Q1</x:v>
      </x:c>
      <x:c r="C3" s="31" t="str">
        <x:v>A concern is under review. Which action creates a confidentiality risk?</x:v>
      </x:c>
      <x:c r="D3" s="31" t="str">
        <x:v>Providing relevant facts through the official reporting channel.</x:v>
      </x:c>
      <x:c r="E3" s="31" t="str">
        <x:v>Allowing the authorised team to review the concern.</x:v>
      </x:c>
      <x:c r="F3" s="31" t="str">
        <x:v>Posting the reporter's identity and case details in a team chat without authorisation.</x:v>
      </x:c>
      <x:c r="G3" s="31" t="str">
        <x:v>Code of Conduct, Section 12</x:v>
      </x:c>
      <x:c r="H3" s="79" t="str">
        <x:v>Draft</x:v>
      </x:c>
    </x:row>
    <x:row r="4" ht="57" customHeight="1">
      <x:c r="A4" s="78" t="n">
        <x:v>3</x:v>
      </x:c>
      <x:c r="B4" s="31" t="str">
        <x:v>SPEAK-R3-Q1</x:v>
      </x:c>
      <x:c r="C4" s="31" t="str">
        <x:v>I must complete my own investigation and prove misconduct before I can raise a genuine concern. Is this statement correct?</x:v>
      </x:c>
      <x:c r="D4" s="31" t="str">
        <x:v>Yes. Employees must investigate allegations themselves before reporting.</x:v>
      </x:c>
      <x:c r="E4" s="31" t="str">
        <x:v>No. Raise a genuine concern on reasonable grounds and leave investigation to the authorised team.</x:v>
      </x:c>
      <x:c r="F4" s="31" t="str">
        <x:v>Yes, unless the concern involves a customer.</x:v>
      </x:c>
      <x:c r="G4" s="31" t="str">
        <x:v>Code of Conduct, Sections 4.E and 12</x:v>
      </x:c>
      <x:c r="H4" s="79" t="str">
        <x:v>Draft</x:v>
      </x:c>
    </x:row>
    <x:row r="5" ht="57" customHeight="1">
      <x:c r="A5" s="78" t="n">
        <x:v>4</x:v>
      </x:c>
      <x:c r="B5" s="31" t="str">
        <x:v>SPEAK-R4-Q1</x:v>
      </x:c>
      <x:c r="C5" s="31" t="str">
        <x:v>You identify a suspicious customer financial transaction. Which reporting route does the Code specify?</x:v>
      </x:c>
      <x:c r="D5" s="31" t="str">
        <x:v>Report to the Chief Compliance Officer using the Bank's suspicious transaction reporting procedures.</x:v>
      </x:c>
      <x:c r="E5" s="31" t="str">
        <x:v>Add the transaction details to the Nazaha challenge response so the team can investigate.</x:v>
      </x:c>
      <x:c r="F5" s="31" t="str">
        <x:v>Wait until the monthly challenge closes before deciding whether to report.</x:v>
      </x:c>
      <x:c r="G5" s="31" t="str">
        <x:v>Code of Conduct, Sections 4.A and 12</x:v>
      </x:c>
      <x:c r="H5" s="79" t="str">
        <x:v>Draft</x:v>
      </x:c>
    </x:row>
  </x:sheetData>
  <x:pageMargins left="0.7" right="0.7" top="0.75" bottom="0.75" header="0.3" footer="0.3"/>
  <x:tableParts count="1">
    <x:tablePart xmlns:r="http://schemas.openxmlformats.org/officeDocument/2006/relationships" r:id="R5918685e7ef04e05"/>
  </x:tableParts>
</x:worksheet>
</file>

<file path=xl/worksheets/sheet10.xml><?xml version="1.0" encoding="utf-8"?>
<x:worksheet xmlns:x="http://schemas.openxmlformats.org/spreadsheetml/2006/main">
  <x:sheetPr>
    <x:tabColor rgb="FF64748B"/>
  </x:sheetPr>
  <x:sheetViews>
    <x:sheetView showGridLines="0" workbookViewId="0">
      <x:pane ySplit="1" topLeftCell="A2" activePane="bottomLeft" state="frozen"/>
    </x:sheetView>
  </x:sheetViews>
  <x:sheetFormatPr defaultRowHeight="15"/>
  <x:cols>
    <x:col min="1" max="1" width="32" hidden="0" customWidth="1"/>
    <x:col min="2" max="2" width="130" hidden="0" customWidth="1"/>
  </x:cols>
  <x:sheetData>
    <x:row r="1" ht="26" customHeight="1">
      <x:c r="A1" s="74" t="str">
        <x:v>Topic</x:v>
      </x:c>
      <x:c r="B1" s="74" t="str">
        <x:v>Instructions</x:v>
      </x:c>
    </x:row>
    <x:row r="2" ht="57" customHeight="1">
      <x:c r="A2" s="31" t="str">
        <x:v>Replace the configuration</x:v>
      </x:c>
      <x:c r="B2" s="31" t="str">
        <x:v>Upload this workbook to the existing config file document library using the exact server filename config.xlsx. Keep the header row at row 1 and retain the sheet names and column keys. Main version 2 reads Settings, HomeRounds and TopWinners, or the configured published-results list.</x:v>
      </x:c>
    </x:row>
    <x:row r="3" ht="72" customHeight="1">
      <x:c r="A3" s="31" t="str">
        <x:v>Launch dates and Forms</x:v>
      </x:c>
      <x:c r="B3" s="31" t="str">
        <x:v>HomeRounds contains four weekly round templates. Set Period to the campaign month in YYYY-MM, paste each actual form URL into Url and enter OpenAt and CloseAt. Dates must be text in ISO format with an explicit timezone, for example 2026-10-01T09:00:00+04:00. This is a format example, not a launch date. Set opening dates one week apart. Closing dates must be later than opening dates.</x:v>
      </x:c>
    </x:row>
    <x:row r="4" ht="57" customHeight="1">
      <x:c r="A4" s="31" t="str">
        <x:v>Round availability</x:v>
      </x:c>
      <x:c r="B4" s="31" t="str">
        <x:v>Enabled is TRUE so the round titles can appear on Main. Blank dates or a blank Url keep participation unavailable. After the form and schedule are ready, Main shows each round according to its opening and closing times. Set the same time window in Forms and enforce it in the response workflow. A page button is not an access control.</x:v>
      </x:c>
    </x:row>
    <x:row r="5" ht="57" customHeight="1">
      <x:c r="A5" s="31" t="str">
        <x:v>New campaign month</x:v>
      </x:c>
      <x:c r="B5" s="31" t="str">
        <x:v>Set Settings.home_period to the same month as HomeRounds.Period, or leave home_period blank to follow the current Oman month. Add one row per round for each new month. Do not duplicate a round number within the same period. The Main layout uses four rounds.</x:v>
      </x:c>
    </x:row>
    <x:row r="6" ht="57" customHeight="1">
      <x:c r="A6" s="31" t="str">
        <x:v>FormQuestions</x:v>
      </x:c>
      <x:c r="B6" s="31" t="str">
        <x:v>Four draft questions are prepared for the Speaking Up cycle. Copy each question and its options into its corresponding Microsoft Form. This sheet is preparation content and is not automatically imported into Forms or rendered by Main. Answer keys and scoring logic must be kept in Forms or a private scoring list, outside this downloadable configuration workbook.</x:v>
      </x:c>
    </x:row>
    <x:row r="7" ht="57" customHeight="1">
      <x:c r="A7" s="31" t="str">
        <x:v>Official response records</x:v>
      </x:c>
      <x:c r="B7" s="31" t="str">
        <x:v>Configure Forms to identify the responding work account and accept one response per person for each round. A Power Automate flow must read each submitted response, validate identity and the response timestamp, and calculate points using a protected answer key. Store the records in a SharePoint List. No Forms links, gateway connection or flow has been created by this workbook.</x:v>
      </x:c>
    </x:row>
    <x:row r="8" ht="57" customHeight="1">
      <x:c r="A8" s="31" t="str">
        <x:v>Avoid duplicate points</x:v>
      </x:c>
      <x:c r="B8" s="31" t="str">
        <x:v>Use a unique record key based on the verified account, campaign period and round. Treat workflow retries as the same response. Count only the first eligible response per round. Derive totals from the eligible records instead of repeatedly adding points on retries. Agree and publish a rule for equal totals before generating ranked results.</x:v>
      </x:c>
    </x:row>
    <x:row r="9" ht="57" customHeight="1">
      <x:c r="A9" s="31" t="str">
        <x:v>Point inputs</x:v>
      </x:c>
      <x:c r="B9" s="31" t="str">
        <x:v>The participation and accuracy inputs are in Settings. Related FAQ answers and the announcement calculate from those cells. The current rule is one scored question per round. If point inputs change, update and check the scoring workflow before opening the affected campaign. Do not recalculate historical campaigns using a new rule.</x:v>
      </x:c>
    </x:row>
    <x:row r="10" ht="72" customHeight="1">
      <x:c r="A10" s="31" t="str">
        <x:v>Published results list</x:v>
      </x:c>
      <x:c r="B10" s="31" t="str">
        <x:v>Optional Main integration: set home_results_list_id to the actual list GUID. The required internal fields are Title (display name), Rank (Number), Points (Number), Period (Single line of text, YYYY-MM) and Published (Yes/No). Main reads published results for the selected month. The workflow must write verified totals and ranks. Employees may read published results; only authorised publishers should edit them.</x:v>
      </x:c>
    </x:row>
    <x:row r="11" ht="72" customHeight="1">
      <x:c r="A11" s="31" t="str">
        <x:v>Workbook results fallback</x:v>
      </x:c>
      <x:c r="B11" s="31" t="str">
        <x:v>If home_results_list_id is blank, Main reads TopWinners. Fill it only with actual published names, ranks and points, set Enabled to TRUE and set winners_month_label to the actual month and year. The original TopWinners, Leaderboards and WinnersArchive contained placeholder records only. These have been cleared; their headers remain. No employee response history is stored here.</x:v>
      </x:c>
    </x:row>
    <x:row r="12" ht="57" customHeight="1">
      <x:c r="A12" s="31" t="str">
        <x:v>Policy source</x:v>
      </x:c>
      <x:c r="B12" s="31" t="str">
        <x:v>Policy answers and practice cards refer to the supplied 2023 English Code of Conduct. SourceSection identifies the relevant section. The document address remains in Settings.code_of_conduct_en_pdf. The new learning programme's point rules are separate from the Code. Section 13's discretionary reporting reward is unchanged.</x:v>
      </x:c>
    </x:row>
    <x:row r="13" ht="57" customHeight="1">
      <x:c r="A13" s="31" t="str">
        <x:v>English and remaining pages</x:v>
      </x:c>
      <x:c r="B13" s="31" t="str">
        <x:v>Arabic text and translated mail or announcement content have been cleared. Legacy *_AR columns and keys remain blank for compatibility. The team records and media image URLs are preserved. Existing page code with hardcoded text, Arabic content or old points rules must still be replaced page by page. Updating the workbook does not rewrite those HTML blocks.</x:v>
      </x:c>
    </x:row>
    <x:row r="14" ht="57" customHeight="1">
      <x:c r="A14" s="31" t="str">
        <x:v>Content refresh</x:v>
      </x:c>
      <x:c r="B14" s="31" t="str">
        <x:v>For a new cycle, update round descriptions and FormQuestions, create the new forms and replace the schedule and URLs. Update FAQ or DoDont when the source guidance changes. Keep actual presenter details accurate and preserve the existing media image paths and dimensions.</x:v>
      </x:c>
    </x:row>
  </x:sheetData>
  <x:pageMargins left="0.7" right="0.7" top="0.75" bottom="0.75" header="0.3" footer="0.3"/>
  <x:tableParts count="1">
    <x:tablePart xmlns:r="http://schemas.openxmlformats.org/officeDocument/2006/relationships" r:id="Rdd2b6b4144524983"/>
  </x:tableParts>
</x:worksheet>
</file>