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c1c5909434b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 Register" sheetId="1" r:id="R8945334e570e4d3d"/>
    <x:sheet xmlns:r="http://schemas.openxmlformats.org/officeDocument/2006/relationships" name="Billing Data" sheetId="2" r:id="Rf5c1e4d556e94a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/mm/yyyy"/>
    <x:numFmt numFmtId="201" formatCode="0.000"/>
    <x:numFmt numFmtId="202" formatCode="#,##0.000"/>
    <x:numFmt numFmtId="203" formatCode="0.00%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sz val="11"/>
      <x:color rgb="FF1F1F1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274E13"/>
      <x:name val="Carlito"/>
    </x:font>
    <x:font>
      <x:b/>
      <x:sz val="12"/>
      <x:color rgb="FFFFFFFF"/>
      <x:name val="Carlito"/>
    </x:font>
    <x:font>
      <x:b/>
      <x:sz val="11"/>
      <x:color rgb="FF000000"/>
      <x:name val="Carlito"/>
    </x:font>
    <x:font>
      <x:b/>
      <x:sz val="14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7FBFE"/>
      </x:patternFill>
    </x:fill>
    <x:fill>
      <x:patternFill patternType="solid">
        <x:fgColor rgb="FFD9EAD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A6A6A6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</x:fills>
  <x:borders count="10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left"/>
    </x:xf>
    <x:xf numFmtId="0" fontId="4" fillId="6" borderId="0" xfId="0" applyNumberFormat="1" applyFont="1" applyFill="1" applyBorder="1" applyAlignment="1">
      <x:alignment horizontal="left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left"/>
    </x:xf>
    <x:xf numFmtId="0" fontId="4" fillId="6" borderId="1" xfId="0" applyNumberFormat="1" applyFont="1" applyFill="1" applyBorder="1" applyAlignment="1">
      <x:alignment horizontal="left" vertical="center"/>
    </x:xf>
    <x:xf numFmtId="200" fontId="3" fillId="5" borderId="0" xfId="0" applyNumberFormat="1" applyFont="1" applyFill="1" applyBorder="1"/>
    <x:xf numFmtId="200" fontId="3" fillId="5" borderId="1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201" fontId="0" fillId="8" borderId="0" xfId="0" applyNumberFormat="1" applyFont="1" applyFill="1" applyBorder="1"/>
    <x:xf numFmtId="0" fontId="0" fillId="8" borderId="1" xfId="0" applyNumberFormat="1" applyFont="1" applyFill="1" applyBorder="1"/>
    <x:xf numFmtId="200" fontId="0" fillId="8" borderId="1" xfId="0" applyNumberFormat="1" applyFont="1" applyFill="1" applyBorder="1"/>
    <x:xf numFmtId="201" fontId="0" fillId="8" borderId="1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right"/>
    </x:xf>
    <x:xf numFmtId="0" fontId="0" fillId="9" borderId="1" xfId="0" applyNumberFormat="1" applyFont="1" applyFill="1" applyBorder="1"/>
    <x:xf numFmtId="0" fontId="6" fillId="9" borderId="1" xfId="0" applyNumberFormat="1" applyFont="1" applyFill="1" applyBorder="1"/>
    <x:xf numFmtId="0" fontId="6" fillId="9" borderId="1" xfId="0" applyNumberFormat="1" applyFont="1" applyFill="1" applyBorder="1" applyAlignment="1">
      <x:alignment horizontal="right"/>
    </x:xf>
    <x:xf numFmtId="201" fontId="6" fillId="9" borderId="0" xfId="0" applyNumberFormat="1" applyFont="1" applyFill="1" applyBorder="1" applyAlignment="1">
      <x:alignment horizontal="right"/>
    </x:xf>
    <x:xf numFmtId="201" fontId="6" fillId="9" borderId="1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200" fontId="3" fillId="5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200" fontId="0" fillId="8" borderId="0" xfId="0" applyNumberFormat="1" applyFont="1" applyFill="1" applyBorder="1" applyAlignment="1">
      <x:alignment wrapText="1"/>
    </x:xf>
    <x:xf numFmtId="201" fontId="0" fillId="8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right" wrapText="1"/>
    </x:xf>
    <x:xf numFmtId="201" fontId="6" fillId="9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vertical="center"/>
    </x:xf>
    <x:xf numFmtId="201" fontId="2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horizontal="center"/>
    </x:xf>
    <x:xf numFmtId="0" fontId="8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8" fillId="14" borderId="0" xfId="0" applyNumberFormat="1" applyFont="1" applyFill="1" applyBorder="1"/>
    <x:xf numFmtId="201" fontId="8" fillId="14" borderId="0" xfId="0" applyNumberFormat="1" applyFont="1" applyFill="1" applyBorder="1"/>
    <x:xf numFmtId="201" fontId="8" fillId="14" borderId="0" xfId="0" applyNumberFormat="1" applyFont="1" applyFill="1" applyBorder="1" applyAlignment="1">
      <x:alignment horizontal="center"/>
    </x:xf>
    <x:xf numFmtId="201" fontId="8" fillId="14" borderId="0" xfId="0" applyNumberFormat="1" applyFont="1" applyFill="1" applyBorder="1" applyAlignment="1">
      <x:alignment horizontal="center" vertical="center"/>
    </x:xf>
    <x:xf numFmtId="0" fontId="5" fillId="12" borderId="2" xfId="0" applyNumberFormat="1" applyFont="1" applyFill="1" applyBorder="1" applyAlignment="1">
      <x:alignment horizontal="center" vertical="center" wrapText="1"/>
    </x:xf>
    <x:xf numFmtId="0" fontId="5" fillId="12" borderId="3" xfId="0" applyNumberFormat="1" applyFont="1" applyFill="1" applyBorder="1" applyAlignment="1">
      <x:alignment horizontal="center" vertical="center" wrapText="1"/>
    </x:xf>
    <x:xf numFmtId="0" fontId="5" fillId="12" borderId="4" xfId="0" applyNumberFormat="1" applyFont="1" applyFill="1" applyBorder="1" applyAlignment="1">
      <x:alignment horizontal="center" vertical="center" wrapText="1"/>
    </x:xf>
    <x:xf numFmtId="0" fontId="8" fillId="13" borderId="5" xfId="0" applyNumberFormat="1" applyFont="1" applyFill="1" applyBorder="1" applyAlignment="1">
      <x:alignment horizontal="center" vertical="center"/>
    </x:xf>
    <x:xf numFmtId="201" fontId="8" fillId="14" xfId="0" applyNumberFormat="1" applyFont="1" applyFill="1" applyBorder="0" applyAlignment="1">
      <x:alignment horizontal="center" vertical="center"/>
    </x:xf>
    <x:xf numFmtId="201" fontId="8" fillId="14" borderId="6" xfId="0" applyNumberFormat="1" applyFont="1" applyFill="1" applyBorder="1" applyAlignment="1">
      <x:alignment horizontal="center" vertical="center"/>
    </x:xf>
    <x:xf numFmtId="0" fontId="8" fillId="13" borderId="7" xfId="0" applyNumberFormat="1" applyFont="1" applyFill="1" applyBorder="1" applyAlignment="1">
      <x:alignment horizontal="center" vertical="center"/>
    </x:xf>
    <x:xf numFmtId="201" fontId="8" fillId="14" borderId="8" xfId="0" applyNumberFormat="1" applyFont="1" applyFill="1" applyBorder="1" applyAlignment="1">
      <x:alignment horizontal="center" vertical="center"/>
    </x:xf>
    <x:xf numFmtId="201" fontId="8" fillId="14" borderId="9" xfId="0" applyNumberFormat="1" applyFont="1" applyFill="1" applyBorder="1" applyAlignment="1">
      <x:alignment horizontal="center" vertical="center"/>
    </x:xf>
    <x:xf numFmtId="0" fontId="9" fillId="10" borderId="0" xfId="0" applyNumberFormat="1" applyFont="1" applyFill="1" applyBorder="1"/>
    <x:xf numFmtId="0" fontId="9" fillId="10" borderId="0" xfId="0" applyNumberFormat="1" applyFont="1" applyFill="1" applyBorder="1" applyAlignment="1">
      <x:alignment horizontal="center"/>
    </x:xf>
    <x:xf numFmtId="0" fontId="9" fillId="10" borderId="0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B91C1C"/>
      </x:font>
      <x:fill>
        <x:patternFill>
          <x:bgColor rgb="FFFCE8E6"/>
        </x:patternFill>
      </x:fill>
    </x:dxf>
    <x:dxf>
      <x:font>
        <x:b/>
        <x:color rgb="FF38761D"/>
      </x:font>
      <x:fill>
        <x:patternFill>
          <x:bgColor rgb="FFE2F0D9"/>
        </x:patternFill>
      </x:fill>
    </x:dxf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38761D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1ba6efd28447ee" /><Relationship Type="http://schemas.openxmlformats.org/officeDocument/2006/relationships/theme" Target="/xl/theme/theme1.xml" Id="R1e9403941bb24577" /><Relationship Type="http://schemas.openxmlformats.org/officeDocument/2006/relationships/sharedStrings" Target="/xl/sharedStrings.xml" Id="R6dc784c1cb2d4ba2" /><Relationship Type="http://schemas.openxmlformats.org/officeDocument/2006/relationships/worksheet" Target="/xl/worksheets/sheet1.xml" Id="R8945334e570e4d3d" /><Relationship Type="http://schemas.openxmlformats.org/officeDocument/2006/relationships/worksheet" Target="/xl/worksheets/sheet2.xml" Id="Rf5c1e4d556e94a11" /></Relationships>
</file>

<file path=xl/tables/table1.xml><?xml version="1.0" encoding="utf-8"?>
<x:table xmlns:x="http://schemas.openxmlformats.org/spreadsheetml/2006/main" id="1" name="BillingDataTable" displayName="BillingDataTable" ref="A3:AD33" headerRowCount="1" totalsRowCount="0" totalsRowShown="0">
  <x:tableColumns count="30">
    <x:tableColumn id="1" name="Billing Period"/>
    <x:tableColumn id="2" name="Invoice Date"/>
    <x:tableColumn id="3" name="Invoice Account"/>
    <x:tableColumn id="4" name="Name"/>
    <x:tableColumn id="5" name="Invoice ID"/>
    <x:tableColumn id="6" name="Sub Invoice"/>
    <x:tableColumn id="7" name="Current or Previous"/>
    <x:tableColumn id="8" name="Entity Type"/>
    <x:tableColumn id="9" name="Entity ID"/>
    <x:tableColumn id="10" name="Mapping"/>
    <x:tableColumn id="11" name="Entity Name"/>
    <x:tableColumn id="12" name="Settlement ID"/>
    <x:tableColumn id="13" name="Description"/>
    <x:tableColumn id="14" name="Future Use"/>
    <x:tableColumn id="15" name="NTWK"/>
    <x:tableColumn id="16" name="Billing Line"/>
    <x:tableColumn id="17" name="Type"/>
    <x:tableColumn id="18" name="Rate Type"/>
    <x:tableColumn id="19" name="Units"/>
    <x:tableColumn id="20" name="Rate Cur"/>
    <x:tableColumn id="21" name="Rate"/>
    <x:tableColumn id="22" name="Foreign Exchange Rate"/>
    <x:tableColumn id="23" name="Billing Currency"/>
    <x:tableColumn id="24" name="Total"/>
    <x:tableColumn id="25" name="Tax Type"/>
    <x:tableColumn id="26" name="Tax"/>
    <x:tableColumn id="27" name="Tax Rate"/>
    <x:tableColumn id="28" name="Tax Currency"/>
    <x:tableColumn id="29" name="Taxable Amount (Tax Currency)"/>
    <x:tableColumn id="30" name="Tax (Tax Currency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c282f256ef44e5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26" hidden="0" customWidth="1"/>
    <x:col min="4" max="4" width="16" hidden="0" customWidth="1"/>
    <x:col min="5" max="5" width="18" hidden="0" customWidth="1"/>
    <x:col min="6" max="6" width="18" hidden="0" customWidth="1"/>
    <x:col min="8" max="8" width="19" hidden="0" customWidth="1"/>
    <x:col min="9" max="9" width="22" hidden="0" customWidth="1"/>
    <x:col min="10" max="10" width="14" hidden="0" customWidth="1"/>
    <x:col min="11" max="11" width="18" hidden="0" customWidth="1"/>
    <x:col min="12" max="12" width="14" hidden="0" customWidth="1"/>
  </x:cols>
  <x:sheetData>
    <x:row r="1" ht="30" customHeight="1">
      <x:c r="A1" s="64" t="str">
        <x:v>INVOICE PROCESSING TRACKER</x:v>
      </x:c>
      <x:c r="B1" s="64"/>
      <x:c r="C1" s="64"/>
      <x:c r="D1" s="64"/>
      <x:c r="E1" s="64"/>
      <x:c r="F1" s="64"/>
    </x:row>
    <x:row r="2">
      <x:c r="A2" s="65"/>
      <x:c r="B2" s="65"/>
      <x:c r="C2" s="65"/>
      <x:c r="D2" s="65"/>
      <x:c r="E2" s="65"/>
      <x:c r="F2" s="65"/>
      <x:c r="H2" s="83" t="str">
        <x:v>TRAINING SUMMARY TASK</x:v>
      </x:c>
      <x:c r="I2" s="83"/>
      <x:c r="J2" s="83"/>
      <x:c r="K2" s="83"/>
    </x:row>
    <x:row r="3" ht="22" customHeight="1">
      <x:c r="A3" s="66" t="str">
        <x:v>REPORT INFORMATION</x:v>
      </x:c>
      <x:c r="B3" s="66"/>
      <x:c r="C3" s="66"/>
      <x:c r="D3" s="66"/>
      <x:c r="E3" s="66"/>
      <x:c r="F3" s="66"/>
      <x:c r="H3" s="87" t="str">
        <x:v>FX Rate USD → OMR</x:v>
      </x:c>
      <x:c r="I3" s="88" t="n">
        <x:v>0.385</x:v>
      </x:c>
    </x:row>
    <x:row r="4">
      <x:c r="A4" s="67" t="str">
        <x:v>Report Date</x:v>
      </x:c>
      <x:c r="B4" s="68" t="n">
        <x:v>46245</x:v>
      </x:c>
      <x:c r="C4" s="65" t="str"/>
      <x:c r="D4" s="67" t="str">
        <x:v>Customer Name</x:v>
      </x:c>
      <x:c r="E4" s="69" t="str"/>
      <x:c r="F4" s="65" t="str"/>
    </x:row>
    <x:row r="5" ht="36" customHeight="1">
      <x:c r="A5" s="67" t="str">
        <x:v>Batch ID</x:v>
      </x:c>
      <x:c r="B5" s="70" t="str">
        <x:v>BATCH-260811-01</x:v>
      </x:c>
      <x:c r="C5" s="65" t="str"/>
      <x:c r="D5" s="67" t="str">
        <x:v>Prepared By</x:v>
      </x:c>
      <x:c r="E5" s="70" t="str">
        <x:v>Operations Team</x:v>
      </x:c>
      <x:c r="F5" s="65" t="str"/>
      <x:c r="H5" s="103" t="str">
        <x:v>Row Labels</x:v>
      </x:c>
      <x:c r="I5" s="104" t="str">
        <x:v>Average of Total USD</x:v>
      </x:c>
      <x:c r="J5" s="104" t="str">
        <x:v>Both / 2</x:v>
      </x:c>
      <x:c r="K5" s="104" t="str">
        <x:v>Final Avg USD</x:v>
      </x:c>
      <x:c r="L5" s="105" t="str">
        <x:v>OMR</x:v>
      </x:c>
    </x:row>
    <x:row r="6" ht="24" customHeight="1">
      <x:c r="A6" s="65"/>
      <x:c r="B6" s="65"/>
      <x:c r="C6" s="65"/>
      <x:c r="D6" s="65"/>
      <x:c r="E6" s="65"/>
      <x:c r="F6" s="65"/>
      <x:c r="H6" s="106" t="str">
        <x:v>ISSR</x:v>
      </x:c>
      <x:c r="I6" s="107" t="str"/>
      <x:c r="J6" s="107" t="str"/>
      <x:c r="K6" s="107" t="str"/>
      <x:c r="L6" s="108" t="str"/>
    </x:row>
    <x:row r="7" ht="24" customHeight="1">
      <x:c r="A7" s="65"/>
      <x:c r="B7" s="65"/>
      <x:c r="C7" s="65"/>
      <x:c r="D7" s="65"/>
      <x:c r="E7" s="65"/>
      <x:c r="F7" s="65"/>
      <x:c r="H7" s="106" t="str">
        <x:v>ACQR</x:v>
      </x:c>
      <x:c r="I7" s="107" t="str"/>
      <x:c r="J7" s="107" t="str"/>
      <x:c r="K7" s="107" t="str"/>
      <x:c r="L7" s="108" t="str"/>
    </x:row>
    <x:row r="8" ht="24" customHeight="1">
      <x:c r="A8" s="71" t="str">
        <x:v>Invoice No.</x:v>
      </x:c>
      <x:c r="B8" s="71" t="str">
        <x:v>Invoice Date</x:v>
      </x:c>
      <x:c r="C8" s="71" t="str">
        <x:v>Description</x:v>
      </x:c>
      <x:c r="D8" s="71" t="str">
        <x:v>Amount (OMR)</x:v>
      </x:c>
      <x:c r="E8" s="71" t="str">
        <x:v>Status</x:v>
      </x:c>
      <x:c r="F8" s="71" t="str">
        <x:v>Department</x:v>
      </x:c>
      <x:c r="H8" s="106" t="str">
        <x:v>Both</x:v>
      </x:c>
      <x:c r="I8" s="107" t="str"/>
      <x:c r="J8" s="107" t="str"/>
      <x:c r="K8" s="107" t="str"/>
      <x:c r="L8" s="108" t="str"/>
    </x:row>
    <x:row r="9" ht="24" customHeight="1">
      <x:c r="A9" s="72" t="str">
        <x:v>INV-2026-1001</x:v>
      </x:c>
      <x:c r="B9" s="73" t="n">
        <x:v>46236</x:v>
      </x:c>
      <x:c r="C9" s="72" t="str">
        <x:v>Maintenance Service</x:v>
      </x:c>
      <x:c r="D9" s="74" t="n">
        <x:v>125.5</x:v>
      </x:c>
      <x:c r="E9" s="72" t="str">
        <x:v>Processed</x:v>
      </x:c>
      <x:c r="F9" s="72" t="str">
        <x:v>Operations</x:v>
      </x:c>
      <x:c r="H9" s="109" t="str">
        <x:v>Combined Result</x:v>
      </x:c>
      <x:c r="I9" s="110" t="str"/>
      <x:c r="J9" s="110" t="str"/>
      <x:c r="K9" s="110" t="str"/>
      <x:c r="L9" s="111" t="str"/>
    </x:row>
    <x:row r="10">
      <x:c r="A10" s="65" t="str">
        <x:v>INV-2026-1007</x:v>
      </x:c>
      <x:c r="B10" s="75" t="n">
        <x:v>46238</x:v>
      </x:c>
      <x:c r="C10" s="65" t="str">
        <x:v>Office Supplies</x:v>
      </x:c>
      <x:c r="D10" s="76" t="n">
        <x:v>89.75</x:v>
      </x:c>
      <x:c r="E10" s="65" t="str">
        <x:v>Processed</x:v>
      </x:c>
      <x:c r="F10" s="65" t="str">
        <x:v>Admin</x:v>
      </x:c>
    </x:row>
    <x:row r="11">
      <x:c r="A11" s="72" t="str">
        <x:v>INV-2026-1015</x:v>
      </x:c>
      <x:c r="B11" s="73" t="n">
        <x:v>46240</x:v>
      </x:c>
      <x:c r="C11" s="72" t="str">
        <x:v>Software Support</x:v>
      </x:c>
      <x:c r="D11" s="74" t="n">
        <x:v>240</x:v>
      </x:c>
      <x:c r="E11" s="72" t="str">
        <x:v>Pending</x:v>
      </x:c>
      <x:c r="F11" s="72" t="str">
        <x:v>IT</x:v>
      </x:c>
    </x:row>
    <x:row r="12">
      <x:c r="A12" s="65" t="str">
        <x:v>INV-2026-1022</x:v>
      </x:c>
      <x:c r="B12" s="75" t="n">
        <x:v>46242</x:v>
      </x:c>
      <x:c r="C12" s="65" t="str">
        <x:v>Courier Charges</x:v>
      </x:c>
      <x:c r="D12" s="76" t="n">
        <x:v>31.25</x:v>
      </x:c>
      <x:c r="E12" s="65" t="str">
        <x:v>Processed</x:v>
      </x:c>
      <x:c r="F12" s="65" t="str">
        <x:v>Operations</x:v>
      </x:c>
    </x:row>
    <x:row r="13">
      <x:c r="A13" s="72" t="str">
        <x:v>INV-2026-1039</x:v>
      </x:c>
      <x:c r="B13" s="73" t="n">
        <x:v>46244</x:v>
      </x:c>
      <x:c r="C13" s="72" t="str">
        <x:v>Equipment Rental</x:v>
      </x:c>
      <x:c r="D13" s="74" t="n">
        <x:v>175</x:v>
      </x:c>
      <x:c r="E13" s="72" t="str">
        <x:v>Pending</x:v>
      </x:c>
      <x:c r="F13" s="72" t="str">
        <x:v>Facilities</x:v>
      </x:c>
    </x:row>
    <x:row r="14">
      <x:c r="A14" s="65"/>
      <x:c r="B14" s="65"/>
      <x:c r="C14" s="65"/>
      <x:c r="D14" s="65"/>
      <x:c r="E14" s="65"/>
      <x:c r="F14" s="65"/>
    </x:row>
    <x:row r="15">
      <x:c r="A15" s="65"/>
      <x:c r="B15" s="65"/>
      <x:c r="C15" s="77" t="str">
        <x:v>Total Amount</x:v>
      </x:c>
      <x:c r="D15" s="78" t="n">
        <x:f>SUM(D9:D13)</x:f>
        <x:v>661.5</x:v>
      </x:c>
      <x:c r="E15" s="65"/>
      <x:c r="F15" s="65"/>
    </x:row>
  </x:sheetData>
  <x:mergeCells>
    <x:mergeCell ref="A1:F1"/>
    <x:mergeCell ref="A3:F3"/>
    <x:mergeCell ref="H2:K2"/>
  </x:mergeCells>
  <x:conditionalFormatting sqref="E9:E13">
    <x:cfRule type="expression" dxfId="0" priority="1">
      <x:formula>E9="Pending"</x:formula>
    </x:cfRule>
    <x:cfRule type="expression" dxfId="1" priority="2">
      <x:formula>E9="Processed"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8" hidden="0" customWidth="1"/>
    <x:col min="5" max="5" width="15" hidden="0" customWidth="1"/>
    <x:col min="6" max="6" width="15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15" hidden="0" customWidth="1"/>
    <x:col min="13" max="13" width="20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21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23" hidden="0" customWidth="1"/>
    <x:col min="30" max="30" width="23" hidden="0" customWidth="1"/>
  </x:cols>
  <x:sheetData>
    <x:row r="1" ht="28" customHeight="1">
      <x:c r="A1" s="114" t="str">
        <x:v>BILLING DATA – UIPATH FILTER &amp; AVERAGE PRACTICE</x:v>
      </x:c>
      <x:c r="B1" s="114"/>
      <x:c r="C1" s="114"/>
      <x:c r="D1" s="114"/>
      <x:c r="E1" s="114"/>
      <x:c r="F1" s="114"/>
      <x:c r="G1" s="114"/>
      <x:c r="H1" s="114"/>
      <x:c r="I1" s="114"/>
      <x:c r="J1" s="114"/>
      <x:c r="K1" s="114"/>
      <x:c r="L1" s="114"/>
      <x:c r="M1" s="114"/>
      <x:c r="N1" s="114"/>
      <x:c r="O1" s="114"/>
      <x:c r="P1" s="114"/>
      <x:c r="Q1" s="114"/>
      <x:c r="R1" s="114"/>
      <x:c r="S1" s="114"/>
      <x:c r="T1" s="114"/>
      <x:c r="U1" s="114"/>
      <x:c r="V1" s="114"/>
      <x:c r="W1" s="114"/>
      <x:c r="X1" s="114"/>
      <x:c r="Y1" s="114"/>
      <x:c r="Z1" s="114"/>
      <x:c r="AA1" s="114"/>
      <x:c r="AB1" s="114"/>
      <x:c r="AC1" s="114"/>
      <x:c r="AD1" s="114"/>
    </x:row>
    <x:row r="3" ht="42" customHeight="1">
      <x:c r="A3" s="119" t="str">
        <x:v>Billing Period</x:v>
      </x:c>
      <x:c r="B3" s="119" t="str">
        <x:v>Invoice Date</x:v>
      </x:c>
      <x:c r="C3" s="119" t="str">
        <x:v>Invoice Account</x:v>
      </x:c>
      <x:c r="D3" s="119" t="str">
        <x:v>Name</x:v>
      </x:c>
      <x:c r="E3" s="119" t="str">
        <x:v>Invoice ID</x:v>
      </x:c>
      <x:c r="F3" s="119" t="str">
        <x:v>Sub Invoice</x:v>
      </x:c>
      <x:c r="G3" s="119" t="str">
        <x:v>Current or Previous</x:v>
      </x:c>
      <x:c r="H3" s="119" t="str">
        <x:v>Entity Type</x:v>
      </x:c>
      <x:c r="I3" s="119" t="str">
        <x:v>Entity ID</x:v>
      </x:c>
      <x:c r="J3" s="119" t="str">
        <x:v>Mapping</x:v>
      </x:c>
      <x:c r="K3" s="119" t="str">
        <x:v>Entity Name</x:v>
      </x:c>
      <x:c r="L3" s="119" t="str">
        <x:v>Settlement ID</x:v>
      </x:c>
      <x:c r="M3" s="119" t="str">
        <x:v>Description</x:v>
      </x:c>
      <x:c r="N3" s="119" t="str">
        <x:v>Future Use</x:v>
      </x:c>
      <x:c r="O3" s="119" t="str">
        <x:v>NTWK</x:v>
      </x:c>
      <x:c r="P3" s="119" t="str">
        <x:v>Billing Line</x:v>
      </x:c>
      <x:c r="Q3" s="119" t="str">
        <x:v>Type</x:v>
      </x:c>
      <x:c r="R3" s="119" t="str">
        <x:v>Rate Type</x:v>
      </x:c>
      <x:c r="S3" s="119" t="str">
        <x:v>Units</x:v>
      </x:c>
      <x:c r="T3" s="119" t="str">
        <x:v>Rate Cur</x:v>
      </x:c>
      <x:c r="U3" s="119" t="str">
        <x:v>Rate</x:v>
      </x:c>
      <x:c r="V3" s="119" t="str">
        <x:v>Foreign Exchange Rate</x:v>
      </x:c>
      <x:c r="W3" s="119" t="str">
        <x:v>Billing Currency</x:v>
      </x:c>
      <x:c r="X3" s="119" t="str">
        <x:v>Total</x:v>
      </x:c>
      <x:c r="Y3" s="119" t="str">
        <x:v>Tax Type</x:v>
      </x:c>
      <x:c r="Z3" s="119" t="str">
        <x:v>Tax</x:v>
      </x:c>
      <x:c r="AA3" s="119" t="str">
        <x:v>Tax Rate</x:v>
      </x:c>
      <x:c r="AB3" s="119" t="str">
        <x:v>Tax Currency</x:v>
      </x:c>
      <x:c r="AC3" s="119" t="str">
        <x:v>Taxable Amount (Tax Currency)</x:v>
      </x:c>
      <x:c r="AD3" s="119" t="str">
        <x:v>Tax (Tax Currency)</x:v>
      </x:c>
    </x:row>
    <x:row r="4">
      <x:c r="A4" s="65" t="str">
        <x:v>2026-07</x:v>
      </x:c>
      <x:c r="B4" s="75" t="n">
        <x:v>46204</x:v>
      </x:c>
      <x:c r="C4" s="65" t="str">
        <x:v>ACC-1001</x:v>
      </x:c>
      <x:c r="D4" s="65" t="str">
        <x:v>Customer ACQR-1</x:v>
      </x:c>
      <x:c r="E4" s="65" t="str">
        <x:v>INV-2026001</x:v>
      </x:c>
      <x:c r="F4" s="65" t="str">
        <x:v>SUB-001</x:v>
      </x:c>
      <x:c r="G4" s="65" t="str">
        <x:v>Current</x:v>
      </x:c>
      <x:c r="H4" s="65" t="str">
        <x:v>Merchant</x:v>
      </x:c>
      <x:c r="I4" s="65" t="str">
        <x:v>ENT-2001</x:v>
      </x:c>
      <x:c r="J4" s="65" t="str">
        <x:v>MAP-2</x:v>
      </x:c>
      <x:c r="K4" s="65" t="str">
        <x:v>Entity ACQR-1</x:v>
      </x:c>
      <x:c r="L4" s="65" t="str">
        <x:v>SET-5001</x:v>
      </x:c>
      <x:c r="M4" s="65" t="str">
        <x:v>Service Charge</x:v>
      </x:c>
      <x:c r="N4" s="65" t="str">
        <x:v>No</x:v>
      </x:c>
      <x:c r="O4" s="65" t="str">
        <x:v>MC</x:v>
      </x:c>
      <x:c r="P4" s="65" t="str">
        <x:v>BL-2</x:v>
      </x:c>
      <x:c r="Q4" s="65" t="str">
        <x:v>ACQR</x:v>
      </x:c>
      <x:c r="R4" s="65" t="str">
        <x:v>Fixed</x:v>
      </x:c>
      <x:c r="S4" s="65" t="n">
        <x:v>2</x:v>
      </x:c>
      <x:c r="T4" s="65" t="str">
        <x:v>USD</x:v>
      </x:c>
      <x:c r="U4" s="76" t="n">
        <x:v>600</x:v>
      </x:c>
      <x:c r="V4" s="76" t="n">
        <x:v>0.385</x:v>
      </x:c>
      <x:c r="W4" s="65" t="str">
        <x:v>USD</x:v>
      </x:c>
      <x:c r="X4" s="120" t="n">
        <x:v>1200</x:v>
      </x:c>
      <x:c r="Y4" s="65" t="str">
        <x:v>VAT</x:v>
      </x:c>
      <x:c r="Z4" s="120" t="n">
        <x:v>60</x:v>
      </x:c>
      <x:c r="AA4" s="121" t="n">
        <x:v>0.05</x:v>
      </x:c>
      <x:c r="AB4" s="65" t="str">
        <x:v>USD</x:v>
      </x:c>
      <x:c r="AC4" s="120" t="n">
        <x:v>1200</x:v>
      </x:c>
      <x:c r="AD4" s="120" t="n">
        <x:v>60</x:v>
      </x:c>
    </x:row>
    <x:row r="5">
      <x:c r="A5" s="65" t="str">
        <x:v>2026-07</x:v>
      </x:c>
      <x:c r="B5" s="75" t="n">
        <x:v>46205</x:v>
      </x:c>
      <x:c r="C5" s="65" t="str">
        <x:v>ACC-1002</x:v>
      </x:c>
      <x:c r="D5" s="65" t="str">
        <x:v>Customer ACQR-2</x:v>
      </x:c>
      <x:c r="E5" s="65" t="str">
        <x:v>INV-2026002</x:v>
      </x:c>
      <x:c r="F5" s="65" t="str">
        <x:v>SUB-002</x:v>
      </x:c>
      <x:c r="G5" s="65" t="str">
        <x:v>Current</x:v>
      </x:c>
      <x:c r="H5" s="65" t="str">
        <x:v>Corporate</x:v>
      </x:c>
      <x:c r="I5" s="65" t="str">
        <x:v>ENT-2002</x:v>
      </x:c>
      <x:c r="J5" s="65" t="str">
        <x:v>MAP-3</x:v>
      </x:c>
      <x:c r="K5" s="65" t="str">
        <x:v>Entity ACQR-2</x:v>
      </x:c>
      <x:c r="L5" s="65" t="str">
        <x:v>SET-5002</x:v>
      </x:c>
      <x:c r="M5" s="65" t="str">
        <x:v>Processing Fee</x:v>
      </x:c>
      <x:c r="N5" s="65" t="str">
        <x:v>No</x:v>
      </x:c>
      <x:c r="O5" s="65" t="str">
        <x:v>LOCAL</x:v>
      </x:c>
      <x:c r="P5" s="65" t="str">
        <x:v>BL-3</x:v>
      </x:c>
      <x:c r="Q5" s="65" t="str">
        <x:v>ACQR</x:v>
      </x:c>
      <x:c r="R5" s="65" t="str">
        <x:v>Variable</x:v>
      </x:c>
      <x:c r="S5" s="65" t="n">
        <x:v>3</x:v>
      </x:c>
      <x:c r="T5" s="65" t="str">
        <x:v>USD</x:v>
      </x:c>
      <x:c r="U5" s="76" t="n">
        <x:v>500</x:v>
      </x:c>
      <x:c r="V5" s="76" t="n">
        <x:v>0.385</x:v>
      </x:c>
      <x:c r="W5" s="65" t="str">
        <x:v>USD</x:v>
      </x:c>
      <x:c r="X5" s="120" t="n">
        <x:v>1500</x:v>
      </x:c>
      <x:c r="Y5" s="65" t="str">
        <x:v>VAT</x:v>
      </x:c>
      <x:c r="Z5" s="120" t="n">
        <x:v>75</x:v>
      </x:c>
      <x:c r="AA5" s="121" t="n">
        <x:v>0.05</x:v>
      </x:c>
      <x:c r="AB5" s="65" t="str">
        <x:v>USD</x:v>
      </x:c>
      <x:c r="AC5" s="120" t="n">
        <x:v>1500</x:v>
      </x:c>
      <x:c r="AD5" s="120" t="n">
        <x:v>75</x:v>
      </x:c>
    </x:row>
    <x:row r="6">
      <x:c r="A6" s="65" t="str">
        <x:v>2026-07</x:v>
      </x:c>
      <x:c r="B6" s="75" t="n">
        <x:v>46206</x:v>
      </x:c>
      <x:c r="C6" s="65" t="str">
        <x:v>ACC-1003</x:v>
      </x:c>
      <x:c r="D6" s="65" t="str">
        <x:v>Customer ACQR-3</x:v>
      </x:c>
      <x:c r="E6" s="65" t="str">
        <x:v>INV-2026003</x:v>
      </x:c>
      <x:c r="F6" s="65" t="str">
        <x:v>SUB-003</x:v>
      </x:c>
      <x:c r="G6" s="65" t="str">
        <x:v>Current</x:v>
      </x:c>
      <x:c r="H6" s="65" t="str">
        <x:v>Merchant</x:v>
      </x:c>
      <x:c r="I6" s="65" t="str">
        <x:v>ENT-2003</x:v>
      </x:c>
      <x:c r="J6" s="65" t="str">
        <x:v>MAP-4</x:v>
      </x:c>
      <x:c r="K6" s="65" t="str">
        <x:v>Entity ACQR-3</x:v>
      </x:c>
      <x:c r="L6" s="65" t="str">
        <x:v>SET-5003</x:v>
      </x:c>
      <x:c r="M6" s="65" t="str">
        <x:v>Settlement Fee</x:v>
      </x:c>
      <x:c r="N6" s="65" t="str">
        <x:v>No</x:v>
      </x:c>
      <x:c r="O6" s="65" t="str">
        <x:v>VISA</x:v>
      </x:c>
      <x:c r="P6" s="65" t="str">
        <x:v>BL-4</x:v>
      </x:c>
      <x:c r="Q6" s="65" t="str">
        <x:v>ACQR</x:v>
      </x:c>
      <x:c r="R6" s="65" t="str">
        <x:v>Fixed</x:v>
      </x:c>
      <x:c r="S6" s="65" t="n">
        <x:v>4</x:v>
      </x:c>
      <x:c r="T6" s="65" t="str">
        <x:v>USD</x:v>
      </x:c>
      <x:c r="U6" s="76" t="n">
        <x:v>450</x:v>
      </x:c>
      <x:c r="V6" s="76" t="n">
        <x:v>0.385</x:v>
      </x:c>
      <x:c r="W6" s="65" t="str">
        <x:v>USD</x:v>
      </x:c>
      <x:c r="X6" s="120" t="n">
        <x:v>1800</x:v>
      </x:c>
      <x:c r="Y6" s="65" t="str">
        <x:v>VAT</x:v>
      </x:c>
      <x:c r="Z6" s="120" t="n">
        <x:v>90</x:v>
      </x:c>
      <x:c r="AA6" s="121" t="n">
        <x:v>0.05</x:v>
      </x:c>
      <x:c r="AB6" s="65" t="str">
        <x:v>USD</x:v>
      </x:c>
      <x:c r="AC6" s="120" t="n">
        <x:v>1800</x:v>
      </x:c>
      <x:c r="AD6" s="120" t="n">
        <x:v>90</x:v>
      </x:c>
    </x:row>
    <x:row r="7">
      <x:c r="A7" s="65" t="str">
        <x:v>2026-07</x:v>
      </x:c>
      <x:c r="B7" s="75" t="n">
        <x:v>46207</x:v>
      </x:c>
      <x:c r="C7" s="65" t="str">
        <x:v>ACC-1004</x:v>
      </x:c>
      <x:c r="D7" s="65" t="str">
        <x:v>Customer ACQR-4</x:v>
      </x:c>
      <x:c r="E7" s="65" t="str">
        <x:v>INV-2026004</x:v>
      </x:c>
      <x:c r="F7" s="65" t="str">
        <x:v>SUB-004</x:v>
      </x:c>
      <x:c r="G7" s="65" t="str">
        <x:v>Current</x:v>
      </x:c>
      <x:c r="H7" s="65" t="str">
        <x:v>Corporate</x:v>
      </x:c>
      <x:c r="I7" s="65" t="str">
        <x:v>ENT-2004</x:v>
      </x:c>
      <x:c r="J7" s="65" t="str">
        <x:v>MAP-1</x:v>
      </x:c>
      <x:c r="K7" s="65" t="str">
        <x:v>Entity ACQR-4</x:v>
      </x:c>
      <x:c r="L7" s="65" t="str">
        <x:v>SET-5004</x:v>
      </x:c>
      <x:c r="M7" s="65" t="str">
        <x:v>Network Fee</x:v>
      </x:c>
      <x:c r="N7" s="65" t="str">
        <x:v>No</x:v>
      </x:c>
      <x:c r="O7" s="65" t="str">
        <x:v>MC</x:v>
      </x:c>
      <x:c r="P7" s="65" t="str">
        <x:v>BL-5</x:v>
      </x:c>
      <x:c r="Q7" s="65" t="str">
        <x:v>ACQR</x:v>
      </x:c>
      <x:c r="R7" s="65" t="str">
        <x:v>Variable</x:v>
      </x:c>
      <x:c r="S7" s="65" t="n">
        <x:v>5</x:v>
      </x:c>
      <x:c r="T7" s="65" t="str">
        <x:v>USD</x:v>
      </x:c>
      <x:c r="U7" s="76" t="n">
        <x:v>420</x:v>
      </x:c>
      <x:c r="V7" s="76" t="n">
        <x:v>0.385</x:v>
      </x:c>
      <x:c r="W7" s="65" t="str">
        <x:v>USD</x:v>
      </x:c>
      <x:c r="X7" s="120" t="n">
        <x:v>2100</x:v>
      </x:c>
      <x:c r="Y7" s="65" t="str">
        <x:v>VAT</x:v>
      </x:c>
      <x:c r="Z7" s="120" t="n">
        <x:v>105</x:v>
      </x:c>
      <x:c r="AA7" s="121" t="n">
        <x:v>0.05</x:v>
      </x:c>
      <x:c r="AB7" s="65" t="str">
        <x:v>USD</x:v>
      </x:c>
      <x:c r="AC7" s="120" t="n">
        <x:v>2100</x:v>
      </x:c>
      <x:c r="AD7" s="120" t="n">
        <x:v>105</x:v>
      </x:c>
    </x:row>
    <x:row r="8">
      <x:c r="A8" s="65" t="str">
        <x:v>2026-07</x:v>
      </x:c>
      <x:c r="B8" s="75" t="n">
        <x:v>46208</x:v>
      </x:c>
      <x:c r="C8" s="65" t="str">
        <x:v>ACC-1005</x:v>
      </x:c>
      <x:c r="D8" s="65" t="str">
        <x:v>Customer ACQR-5</x:v>
      </x:c>
      <x:c r="E8" s="65" t="str">
        <x:v>INV-2026005</x:v>
      </x:c>
      <x:c r="F8" s="65" t="str">
        <x:v>SUB-005</x:v>
      </x:c>
      <x:c r="G8" s="65" t="str">
        <x:v>Current</x:v>
      </x:c>
      <x:c r="H8" s="65" t="str">
        <x:v>Merchant</x:v>
      </x:c>
      <x:c r="I8" s="65" t="str">
        <x:v>ENT-2005</x:v>
      </x:c>
      <x:c r="J8" s="65" t="str">
        <x:v>MAP-2</x:v>
      </x:c>
      <x:c r="K8" s="65" t="str">
        <x:v>Entity ACQR-5</x:v>
      </x:c>
      <x:c r="L8" s="65" t="str">
        <x:v>SET-5005</x:v>
      </x:c>
      <x:c r="M8" s="65" t="str">
        <x:v>Service Charge</x:v>
      </x:c>
      <x:c r="N8" s="65" t="str">
        <x:v>No</x:v>
      </x:c>
      <x:c r="O8" s="65" t="str">
        <x:v>LOCAL</x:v>
      </x:c>
      <x:c r="P8" s="65" t="str">
        <x:v>BL-6</x:v>
      </x:c>
      <x:c r="Q8" s="65" t="str">
        <x:v>ACQR</x:v>
      </x:c>
      <x:c r="R8" s="65" t="str">
        <x:v>Fixed</x:v>
      </x:c>
      <x:c r="S8" s="65" t="n">
        <x:v>1</x:v>
      </x:c>
      <x:c r="T8" s="65" t="str">
        <x:v>USD</x:v>
      </x:c>
      <x:c r="U8" s="76" t="n">
        <x:v>2400</x:v>
      </x:c>
      <x:c r="V8" s="76" t="n">
        <x:v>0.385</x:v>
      </x:c>
      <x:c r="W8" s="65" t="str">
        <x:v>USD</x:v>
      </x:c>
      <x:c r="X8" s="120" t="n">
        <x:v>2400</x:v>
      </x:c>
      <x:c r="Y8" s="65" t="str">
        <x:v>VAT</x:v>
      </x:c>
      <x:c r="Z8" s="120" t="n">
        <x:v>120</x:v>
      </x:c>
      <x:c r="AA8" s="121" t="n">
        <x:v>0.05</x:v>
      </x:c>
      <x:c r="AB8" s="65" t="str">
        <x:v>USD</x:v>
      </x:c>
      <x:c r="AC8" s="120" t="n">
        <x:v>2400</x:v>
      </x:c>
      <x:c r="AD8" s="120" t="n">
        <x:v>120</x:v>
      </x:c>
    </x:row>
    <x:row r="9">
      <x:c r="A9" s="65" t="str">
        <x:v>2026-07</x:v>
      </x:c>
      <x:c r="B9" s="75" t="n">
        <x:v>46209</x:v>
      </x:c>
      <x:c r="C9" s="65" t="str">
        <x:v>ACC-1006</x:v>
      </x:c>
      <x:c r="D9" s="65" t="str">
        <x:v>Customer ACQR-6</x:v>
      </x:c>
      <x:c r="E9" s="65" t="str">
        <x:v>INV-2026006</x:v>
      </x:c>
      <x:c r="F9" s="65" t="str">
        <x:v>SUB-006</x:v>
      </x:c>
      <x:c r="G9" s="65" t="str">
        <x:v>Current</x:v>
      </x:c>
      <x:c r="H9" s="65" t="str">
        <x:v>Corporate</x:v>
      </x:c>
      <x:c r="I9" s="65" t="str">
        <x:v>ENT-2006</x:v>
      </x:c>
      <x:c r="J9" s="65" t="str">
        <x:v>MAP-3</x:v>
      </x:c>
      <x:c r="K9" s="65" t="str">
        <x:v>Entity ACQR-6</x:v>
      </x:c>
      <x:c r="L9" s="65" t="str">
        <x:v>SET-5006</x:v>
      </x:c>
      <x:c r="M9" s="65" t="str">
        <x:v>Processing Fee</x:v>
      </x:c>
      <x:c r="N9" s="65" t="str">
        <x:v>No</x:v>
      </x:c>
      <x:c r="O9" s="65" t="str">
        <x:v>VISA</x:v>
      </x:c>
      <x:c r="P9" s="65" t="str">
        <x:v>BL-1</x:v>
      </x:c>
      <x:c r="Q9" s="65" t="str">
        <x:v>ACQR</x:v>
      </x:c>
      <x:c r="R9" s="65" t="str">
        <x:v>Variable</x:v>
      </x:c>
      <x:c r="S9" s="65" t="n">
        <x:v>2</x:v>
      </x:c>
      <x:c r="T9" s="65" t="str">
        <x:v>USD</x:v>
      </x:c>
      <x:c r="U9" s="76" t="n">
        <x:v>1350</x:v>
      </x:c>
      <x:c r="V9" s="76" t="n">
        <x:v>0.385</x:v>
      </x:c>
      <x:c r="W9" s="65" t="str">
        <x:v>USD</x:v>
      </x:c>
      <x:c r="X9" s="120" t="n">
        <x:v>2700</x:v>
      </x:c>
      <x:c r="Y9" s="65" t="str">
        <x:v>VAT</x:v>
      </x:c>
      <x:c r="Z9" s="120" t="n">
        <x:v>135</x:v>
      </x:c>
      <x:c r="AA9" s="121" t="n">
        <x:v>0.05</x:v>
      </x:c>
      <x:c r="AB9" s="65" t="str">
        <x:v>USD</x:v>
      </x:c>
      <x:c r="AC9" s="120" t="n">
        <x:v>2700</x:v>
      </x:c>
      <x:c r="AD9" s="120" t="n">
        <x:v>135</x:v>
      </x:c>
    </x:row>
    <x:row r="10">
      <x:c r="A10" s="65" t="str">
        <x:v>2026-07</x:v>
      </x:c>
      <x:c r="B10" s="75" t="n">
        <x:v>46210</x:v>
      </x:c>
      <x:c r="C10" s="65" t="str">
        <x:v>ACC-1007</x:v>
      </x:c>
      <x:c r="D10" s="65" t="str">
        <x:v>Customer ISSR-1</x:v>
      </x:c>
      <x:c r="E10" s="65" t="str">
        <x:v>INV-2026007</x:v>
      </x:c>
      <x:c r="F10" s="65" t="str">
        <x:v>SUB-007</x:v>
      </x:c>
      <x:c r="G10" s="65" t="str">
        <x:v>Current</x:v>
      </x:c>
      <x:c r="H10" s="65" t="str">
        <x:v>Merchant</x:v>
      </x:c>
      <x:c r="I10" s="65" t="str">
        <x:v>ENT-2007</x:v>
      </x:c>
      <x:c r="J10" s="65" t="str">
        <x:v>MAP-4</x:v>
      </x:c>
      <x:c r="K10" s="65" t="str">
        <x:v>Entity ISSR-1</x:v>
      </x:c>
      <x:c r="L10" s="65" t="str">
        <x:v>SET-5007</x:v>
      </x:c>
      <x:c r="M10" s="65" t="str">
        <x:v>Settlement Fee</x:v>
      </x:c>
      <x:c r="N10" s="65" t="str">
        <x:v>No</x:v>
      </x:c>
      <x:c r="O10" s="65" t="str">
        <x:v>MC</x:v>
      </x:c>
      <x:c r="P10" s="65" t="str">
        <x:v>BL-2</x:v>
      </x:c>
      <x:c r="Q10" s="65" t="str">
        <x:v>ISSR</x:v>
      </x:c>
      <x:c r="R10" s="65" t="str">
        <x:v>Fixed</x:v>
      </x:c>
      <x:c r="S10" s="65" t="n">
        <x:v>3</x:v>
      </x:c>
      <x:c r="T10" s="65" t="str">
        <x:v>USD</x:v>
      </x:c>
      <x:c r="U10" s="76" t="n">
        <x:v>333.333</x:v>
      </x:c>
      <x:c r="V10" s="76" t="n">
        <x:v>0.385</x:v>
      </x:c>
      <x:c r="W10" s="65" t="str">
        <x:v>USD</x:v>
      </x:c>
      <x:c r="X10" s="120" t="n">
        <x:v>1000</x:v>
      </x:c>
      <x:c r="Y10" s="65" t="str">
        <x:v>VAT</x:v>
      </x:c>
      <x:c r="Z10" s="120" t="n">
        <x:v>50</x:v>
      </x:c>
      <x:c r="AA10" s="121" t="n">
        <x:v>0.05</x:v>
      </x:c>
      <x:c r="AB10" s="65" t="str">
        <x:v>USD</x:v>
      </x:c>
      <x:c r="AC10" s="120" t="n">
        <x:v>1000</x:v>
      </x:c>
      <x:c r="AD10" s="120" t="n">
        <x:v>50</x:v>
      </x:c>
    </x:row>
    <x:row r="11">
      <x:c r="A11" s="65" t="str">
        <x:v>2026-07</x:v>
      </x:c>
      <x:c r="B11" s="75" t="n">
        <x:v>46211</x:v>
      </x:c>
      <x:c r="C11" s="65" t="str">
        <x:v>ACC-1008</x:v>
      </x:c>
      <x:c r="D11" s="65" t="str">
        <x:v>Customer ISSR-2</x:v>
      </x:c>
      <x:c r="E11" s="65" t="str">
        <x:v>INV-2026008</x:v>
      </x:c>
      <x:c r="F11" s="65" t="str">
        <x:v>SUB-008</x:v>
      </x:c>
      <x:c r="G11" s="65" t="str">
        <x:v>Current</x:v>
      </x:c>
      <x:c r="H11" s="65" t="str">
        <x:v>Corporate</x:v>
      </x:c>
      <x:c r="I11" s="65" t="str">
        <x:v>ENT-2008</x:v>
      </x:c>
      <x:c r="J11" s="65" t="str">
        <x:v>MAP-1</x:v>
      </x:c>
      <x:c r="K11" s="65" t="str">
        <x:v>Entity ISSR-2</x:v>
      </x:c>
      <x:c r="L11" s="65" t="str">
        <x:v>SET-5008</x:v>
      </x:c>
      <x:c r="M11" s="65" t="str">
        <x:v>Network Fee</x:v>
      </x:c>
      <x:c r="N11" s="65" t="str">
        <x:v>No</x:v>
      </x:c>
      <x:c r="O11" s="65" t="str">
        <x:v>LOCAL</x:v>
      </x:c>
      <x:c r="P11" s="65" t="str">
        <x:v>BL-3</x:v>
      </x:c>
      <x:c r="Q11" s="65" t="str">
        <x:v>ISSR</x:v>
      </x:c>
      <x:c r="R11" s="65" t="str">
        <x:v>Variable</x:v>
      </x:c>
      <x:c r="S11" s="65" t="n">
        <x:v>4</x:v>
      </x:c>
      <x:c r="T11" s="65" t="str">
        <x:v>USD</x:v>
      </x:c>
      <x:c r="U11" s="76" t="n">
        <x:v>325</x:v>
      </x:c>
      <x:c r="V11" s="76" t="n">
        <x:v>0.385</x:v>
      </x:c>
      <x:c r="W11" s="65" t="str">
        <x:v>USD</x:v>
      </x:c>
      <x:c r="X11" s="120" t="n">
        <x:v>1300</x:v>
      </x:c>
      <x:c r="Y11" s="65" t="str">
        <x:v>VAT</x:v>
      </x:c>
      <x:c r="Z11" s="120" t="n">
        <x:v>65</x:v>
      </x:c>
      <x:c r="AA11" s="121" t="n">
        <x:v>0.05</x:v>
      </x:c>
      <x:c r="AB11" s="65" t="str">
        <x:v>USD</x:v>
      </x:c>
      <x:c r="AC11" s="120" t="n">
        <x:v>1300</x:v>
      </x:c>
      <x:c r="AD11" s="120" t="n">
        <x:v>65</x:v>
      </x:c>
    </x:row>
    <x:row r="12">
      <x:c r="A12" s="65" t="str">
        <x:v>2026-07</x:v>
      </x:c>
      <x:c r="B12" s="75" t="n">
        <x:v>46212</x:v>
      </x:c>
      <x:c r="C12" s="65" t="str">
        <x:v>ACC-1009</x:v>
      </x:c>
      <x:c r="D12" s="65" t="str">
        <x:v>Customer ISSR-3</x:v>
      </x:c>
      <x:c r="E12" s="65" t="str">
        <x:v>INV-2026009</x:v>
      </x:c>
      <x:c r="F12" s="65" t="str">
        <x:v>SUB-009</x:v>
      </x:c>
      <x:c r="G12" s="65" t="str">
        <x:v>Current</x:v>
      </x:c>
      <x:c r="H12" s="65" t="str">
        <x:v>Merchant</x:v>
      </x:c>
      <x:c r="I12" s="65" t="str">
        <x:v>ENT-2009</x:v>
      </x:c>
      <x:c r="J12" s="65" t="str">
        <x:v>MAP-2</x:v>
      </x:c>
      <x:c r="K12" s="65" t="str">
        <x:v>Entity ISSR-3</x:v>
      </x:c>
      <x:c r="L12" s="65" t="str">
        <x:v>SET-5009</x:v>
      </x:c>
      <x:c r="M12" s="65" t="str">
        <x:v>Service Charge</x:v>
      </x:c>
      <x:c r="N12" s="65" t="str">
        <x:v>No</x:v>
      </x:c>
      <x:c r="O12" s="65" t="str">
        <x:v>VISA</x:v>
      </x:c>
      <x:c r="P12" s="65" t="str">
        <x:v>BL-4</x:v>
      </x:c>
      <x:c r="Q12" s="65" t="str">
        <x:v>ISSR</x:v>
      </x:c>
      <x:c r="R12" s="65" t="str">
        <x:v>Fixed</x:v>
      </x:c>
      <x:c r="S12" s="65" t="n">
        <x:v>5</x:v>
      </x:c>
      <x:c r="T12" s="65" t="str">
        <x:v>USD</x:v>
      </x:c>
      <x:c r="U12" s="76" t="n">
        <x:v>320</x:v>
      </x:c>
      <x:c r="V12" s="76" t="n">
        <x:v>0.385</x:v>
      </x:c>
      <x:c r="W12" s="65" t="str">
        <x:v>USD</x:v>
      </x:c>
      <x:c r="X12" s="120" t="n">
        <x:v>1600</x:v>
      </x:c>
      <x:c r="Y12" s="65" t="str">
        <x:v>VAT</x:v>
      </x:c>
      <x:c r="Z12" s="120" t="n">
        <x:v>80</x:v>
      </x:c>
      <x:c r="AA12" s="121" t="n">
        <x:v>0.05</x:v>
      </x:c>
      <x:c r="AB12" s="65" t="str">
        <x:v>USD</x:v>
      </x:c>
      <x:c r="AC12" s="120" t="n">
        <x:v>1600</x:v>
      </x:c>
      <x:c r="AD12" s="120" t="n">
        <x:v>80</x:v>
      </x:c>
    </x:row>
    <x:row r="13">
      <x:c r="A13" s="65" t="str">
        <x:v>2026-07</x:v>
      </x:c>
      <x:c r="B13" s="75" t="n">
        <x:v>46213</x:v>
      </x:c>
      <x:c r="C13" s="65" t="str">
        <x:v>ACC-1010</x:v>
      </x:c>
      <x:c r="D13" s="65" t="str">
        <x:v>Customer ISSR-4</x:v>
      </x:c>
      <x:c r="E13" s="65" t="str">
        <x:v>INV-2026010</x:v>
      </x:c>
      <x:c r="F13" s="65" t="str">
        <x:v>SUB-010</x:v>
      </x:c>
      <x:c r="G13" s="65" t="str">
        <x:v>Current</x:v>
      </x:c>
      <x:c r="H13" s="65" t="str">
        <x:v>Corporate</x:v>
      </x:c>
      <x:c r="I13" s="65" t="str">
        <x:v>ENT-2010</x:v>
      </x:c>
      <x:c r="J13" s="65" t="str">
        <x:v>MAP-3</x:v>
      </x:c>
      <x:c r="K13" s="65" t="str">
        <x:v>Entity ISSR-4</x:v>
      </x:c>
      <x:c r="L13" s="65" t="str">
        <x:v>SET-5010</x:v>
      </x:c>
      <x:c r="M13" s="65" t="str">
        <x:v>Processing Fee</x:v>
      </x:c>
      <x:c r="N13" s="65" t="str">
        <x:v>No</x:v>
      </x:c>
      <x:c r="O13" s="65" t="str">
        <x:v>MC</x:v>
      </x:c>
      <x:c r="P13" s="65" t="str">
        <x:v>BL-5</x:v>
      </x:c>
      <x:c r="Q13" s="65" t="str">
        <x:v>ISSR</x:v>
      </x:c>
      <x:c r="R13" s="65" t="str">
        <x:v>Variable</x:v>
      </x:c>
      <x:c r="S13" s="65" t="n">
        <x:v>1</x:v>
      </x:c>
      <x:c r="T13" s="65" t="str">
        <x:v>USD</x:v>
      </x:c>
      <x:c r="U13" s="76" t="n">
        <x:v>1900</x:v>
      </x:c>
      <x:c r="V13" s="76" t="n">
        <x:v>0.385</x:v>
      </x:c>
      <x:c r="W13" s="65" t="str">
        <x:v>USD</x:v>
      </x:c>
      <x:c r="X13" s="120" t="n">
        <x:v>1900</x:v>
      </x:c>
      <x:c r="Y13" s="65" t="str">
        <x:v>VAT</x:v>
      </x:c>
      <x:c r="Z13" s="120" t="n">
        <x:v>95</x:v>
      </x:c>
      <x:c r="AA13" s="121" t="n">
        <x:v>0.05</x:v>
      </x:c>
      <x:c r="AB13" s="65" t="str">
        <x:v>USD</x:v>
      </x:c>
      <x:c r="AC13" s="120" t="n">
        <x:v>1900</x:v>
      </x:c>
      <x:c r="AD13" s="120" t="n">
        <x:v>95</x:v>
      </x:c>
    </x:row>
    <x:row r="14">
      <x:c r="A14" s="65" t="str">
        <x:v>2026-07</x:v>
      </x:c>
      <x:c r="B14" s="75" t="n">
        <x:v>46214</x:v>
      </x:c>
      <x:c r="C14" s="65" t="str">
        <x:v>ACC-1011</x:v>
      </x:c>
      <x:c r="D14" s="65" t="str">
        <x:v>Customer ISSR-5</x:v>
      </x:c>
      <x:c r="E14" s="65" t="str">
        <x:v>INV-2026011</x:v>
      </x:c>
      <x:c r="F14" s="65" t="str">
        <x:v>SUB-011</x:v>
      </x:c>
      <x:c r="G14" s="65" t="str">
        <x:v>Current</x:v>
      </x:c>
      <x:c r="H14" s="65" t="str">
        <x:v>Merchant</x:v>
      </x:c>
      <x:c r="I14" s="65" t="str">
        <x:v>ENT-2011</x:v>
      </x:c>
      <x:c r="J14" s="65" t="str">
        <x:v>MAP-4</x:v>
      </x:c>
      <x:c r="K14" s="65" t="str">
        <x:v>Entity ISSR-5</x:v>
      </x:c>
      <x:c r="L14" s="65" t="str">
        <x:v>SET-5011</x:v>
      </x:c>
      <x:c r="M14" s="65" t="str">
        <x:v>Settlement Fee</x:v>
      </x:c>
      <x:c r="N14" s="65" t="str">
        <x:v>No</x:v>
      </x:c>
      <x:c r="O14" s="65" t="str">
        <x:v>LOCAL</x:v>
      </x:c>
      <x:c r="P14" s="65" t="str">
        <x:v>BL-6</x:v>
      </x:c>
      <x:c r="Q14" s="65" t="str">
        <x:v>ISSR</x:v>
      </x:c>
      <x:c r="R14" s="65" t="str">
        <x:v>Fixed</x:v>
      </x:c>
      <x:c r="S14" s="65" t="n">
        <x:v>2</x:v>
      </x:c>
      <x:c r="T14" s="65" t="str">
        <x:v>USD</x:v>
      </x:c>
      <x:c r="U14" s="76" t="n">
        <x:v>1100</x:v>
      </x:c>
      <x:c r="V14" s="76" t="n">
        <x:v>0.385</x:v>
      </x:c>
      <x:c r="W14" s="65" t="str">
        <x:v>USD</x:v>
      </x:c>
      <x:c r="X14" s="120" t="n">
        <x:v>2200</x:v>
      </x:c>
      <x:c r="Y14" s="65" t="str">
        <x:v>VAT</x:v>
      </x:c>
      <x:c r="Z14" s="120" t="n">
        <x:v>110</x:v>
      </x:c>
      <x:c r="AA14" s="121" t="n">
        <x:v>0.05</x:v>
      </x:c>
      <x:c r="AB14" s="65" t="str">
        <x:v>USD</x:v>
      </x:c>
      <x:c r="AC14" s="120" t="n">
        <x:v>2200</x:v>
      </x:c>
      <x:c r="AD14" s="120" t="n">
        <x:v>110</x:v>
      </x:c>
    </x:row>
    <x:row r="15">
      <x:c r="A15" s="65" t="str">
        <x:v>2026-07</x:v>
      </x:c>
      <x:c r="B15" s="75" t="n">
        <x:v>46215</x:v>
      </x:c>
      <x:c r="C15" s="65" t="str">
        <x:v>ACC-1012</x:v>
      </x:c>
      <x:c r="D15" s="65" t="str">
        <x:v>Customer ISSR-6</x:v>
      </x:c>
      <x:c r="E15" s="65" t="str">
        <x:v>INV-2026012</x:v>
      </x:c>
      <x:c r="F15" s="65" t="str">
        <x:v>SUB-012</x:v>
      </x:c>
      <x:c r="G15" s="65" t="str">
        <x:v>Current</x:v>
      </x:c>
      <x:c r="H15" s="65" t="str">
        <x:v>Corporate</x:v>
      </x:c>
      <x:c r="I15" s="65" t="str">
        <x:v>ENT-2012</x:v>
      </x:c>
      <x:c r="J15" s="65" t="str">
        <x:v>MAP-1</x:v>
      </x:c>
      <x:c r="K15" s="65" t="str">
        <x:v>Entity ISSR-6</x:v>
      </x:c>
      <x:c r="L15" s="65" t="str">
        <x:v>SET-5012</x:v>
      </x:c>
      <x:c r="M15" s="65" t="str">
        <x:v>Network Fee</x:v>
      </x:c>
      <x:c r="N15" s="65" t="str">
        <x:v>No</x:v>
      </x:c>
      <x:c r="O15" s="65" t="str">
        <x:v>VISA</x:v>
      </x:c>
      <x:c r="P15" s="65" t="str">
        <x:v>BL-1</x:v>
      </x:c>
      <x:c r="Q15" s="65" t="str">
        <x:v>ISSR</x:v>
      </x:c>
      <x:c r="R15" s="65" t="str">
        <x:v>Variable</x:v>
      </x:c>
      <x:c r="S15" s="65" t="n">
        <x:v>3</x:v>
      </x:c>
      <x:c r="T15" s="65" t="str">
        <x:v>USD</x:v>
      </x:c>
      <x:c r="U15" s="76" t="n">
        <x:v>833.333</x:v>
      </x:c>
      <x:c r="V15" s="76" t="n">
        <x:v>0.385</x:v>
      </x:c>
      <x:c r="W15" s="65" t="str">
        <x:v>USD</x:v>
      </x:c>
      <x:c r="X15" s="120" t="n">
        <x:v>2500</x:v>
      </x:c>
      <x:c r="Y15" s="65" t="str">
        <x:v>VAT</x:v>
      </x:c>
      <x:c r="Z15" s="120" t="n">
        <x:v>125</x:v>
      </x:c>
      <x:c r="AA15" s="121" t="n">
        <x:v>0.05</x:v>
      </x:c>
      <x:c r="AB15" s="65" t="str">
        <x:v>USD</x:v>
      </x:c>
      <x:c r="AC15" s="120" t="n">
        <x:v>2500</x:v>
      </x:c>
      <x:c r="AD15" s="120" t="n">
        <x:v>125</x:v>
      </x:c>
    </x:row>
    <x:row r="16">
      <x:c r="A16" s="65" t="str">
        <x:v>2026-07</x:v>
      </x:c>
      <x:c r="B16" s="75" t="n">
        <x:v>46216</x:v>
      </x:c>
      <x:c r="C16" s="65" t="str">
        <x:v>ACC-1013</x:v>
      </x:c>
      <x:c r="D16" s="65" t="str">
        <x:v>Customer Both-1</x:v>
      </x:c>
      <x:c r="E16" s="65" t="str">
        <x:v>INV-2026013</x:v>
      </x:c>
      <x:c r="F16" s="65" t="str">
        <x:v>SUB-013</x:v>
      </x:c>
      <x:c r="G16" s="65" t="str">
        <x:v>Current</x:v>
      </x:c>
      <x:c r="H16" s="65" t="str">
        <x:v>Merchant</x:v>
      </x:c>
      <x:c r="I16" s="65" t="str">
        <x:v>ENT-2013</x:v>
      </x:c>
      <x:c r="J16" s="65" t="str">
        <x:v>MAP-2</x:v>
      </x:c>
      <x:c r="K16" s="65" t="str">
        <x:v>Entity Both-1</x:v>
      </x:c>
      <x:c r="L16" s="65" t="str">
        <x:v>SET-5013</x:v>
      </x:c>
      <x:c r="M16" s="65" t="str">
        <x:v>Service Charge</x:v>
      </x:c>
      <x:c r="N16" s="65" t="str">
        <x:v>No</x:v>
      </x:c>
      <x:c r="O16" s="65" t="str">
        <x:v>MC</x:v>
      </x:c>
      <x:c r="P16" s="65" t="str">
        <x:v>BL-2</x:v>
      </x:c>
      <x:c r="Q16" s="65" t="str">
        <x:v>Both</x:v>
      </x:c>
      <x:c r="R16" s="65" t="str">
        <x:v>Fixed</x:v>
      </x:c>
      <x:c r="S16" s="65" t="n">
        <x:v>4</x:v>
      </x:c>
      <x:c r="T16" s="65" t="str">
        <x:v>USD</x:v>
      </x:c>
      <x:c r="U16" s="76" t="n">
        <x:v>200</x:v>
      </x:c>
      <x:c r="V16" s="76" t="n">
        <x:v>0.385</x:v>
      </x:c>
      <x:c r="W16" s="65" t="str">
        <x:v>USD</x:v>
      </x:c>
      <x:c r="X16" s="120" t="n">
        <x:v>800</x:v>
      </x:c>
      <x:c r="Y16" s="65" t="str">
        <x:v>VAT</x:v>
      </x:c>
      <x:c r="Z16" s="120" t="n">
        <x:v>40</x:v>
      </x:c>
      <x:c r="AA16" s="121" t="n">
        <x:v>0.05</x:v>
      </x:c>
      <x:c r="AB16" s="65" t="str">
        <x:v>USD</x:v>
      </x:c>
      <x:c r="AC16" s="120" t="n">
        <x:v>800</x:v>
      </x:c>
      <x:c r="AD16" s="120" t="n">
        <x:v>40</x:v>
      </x:c>
    </x:row>
    <x:row r="17">
      <x:c r="A17" s="65" t="str">
        <x:v>2026-07</x:v>
      </x:c>
      <x:c r="B17" s="75" t="n">
        <x:v>46217</x:v>
      </x:c>
      <x:c r="C17" s="65" t="str">
        <x:v>ACC-1014</x:v>
      </x:c>
      <x:c r="D17" s="65" t="str">
        <x:v>Customer Both-2</x:v>
      </x:c>
      <x:c r="E17" s="65" t="str">
        <x:v>INV-2026014</x:v>
      </x:c>
      <x:c r="F17" s="65" t="str">
        <x:v>SUB-014</x:v>
      </x:c>
      <x:c r="G17" s="65" t="str">
        <x:v>Current</x:v>
      </x:c>
      <x:c r="H17" s="65" t="str">
        <x:v>Corporate</x:v>
      </x:c>
      <x:c r="I17" s="65" t="str">
        <x:v>ENT-2014</x:v>
      </x:c>
      <x:c r="J17" s="65" t="str">
        <x:v>MAP-3</x:v>
      </x:c>
      <x:c r="K17" s="65" t="str">
        <x:v>Entity Both-2</x:v>
      </x:c>
      <x:c r="L17" s="65" t="str">
        <x:v>SET-5014</x:v>
      </x:c>
      <x:c r="M17" s="65" t="str">
        <x:v>Processing Fee</x:v>
      </x:c>
      <x:c r="N17" s="65" t="str">
        <x:v>No</x:v>
      </x:c>
      <x:c r="O17" s="65" t="str">
        <x:v>LOCAL</x:v>
      </x:c>
      <x:c r="P17" s="65" t="str">
        <x:v>BL-3</x:v>
      </x:c>
      <x:c r="Q17" s="65" t="str">
        <x:v>Both</x:v>
      </x:c>
      <x:c r="R17" s="65" t="str">
        <x:v>Variable</x:v>
      </x:c>
      <x:c r="S17" s="65" t="n">
        <x:v>5</x:v>
      </x:c>
      <x:c r="T17" s="65" t="str">
        <x:v>USD</x:v>
      </x:c>
      <x:c r="U17" s="76" t="n">
        <x:v>200</x:v>
      </x:c>
      <x:c r="V17" s="76" t="n">
        <x:v>0.385</x:v>
      </x:c>
      <x:c r="W17" s="65" t="str">
        <x:v>USD</x:v>
      </x:c>
      <x:c r="X17" s="120" t="n">
        <x:v>1000</x:v>
      </x:c>
      <x:c r="Y17" s="65" t="str">
        <x:v>VAT</x:v>
      </x:c>
      <x:c r="Z17" s="120" t="n">
        <x:v>50</x:v>
      </x:c>
      <x:c r="AA17" s="121" t="n">
        <x:v>0.05</x:v>
      </x:c>
      <x:c r="AB17" s="65" t="str">
        <x:v>USD</x:v>
      </x:c>
      <x:c r="AC17" s="120" t="n">
        <x:v>1000</x:v>
      </x:c>
      <x:c r="AD17" s="120" t="n">
        <x:v>50</x:v>
      </x:c>
    </x:row>
    <x:row r="18">
      <x:c r="A18" s="65" t="str">
        <x:v>2026-07</x:v>
      </x:c>
      <x:c r="B18" s="75" t="n">
        <x:v>46218</x:v>
      </x:c>
      <x:c r="C18" s="65" t="str">
        <x:v>ACC-1015</x:v>
      </x:c>
      <x:c r="D18" s="65" t="str">
        <x:v>Customer Both-3</x:v>
      </x:c>
      <x:c r="E18" s="65" t="str">
        <x:v>INV-2026015</x:v>
      </x:c>
      <x:c r="F18" s="65" t="str">
        <x:v>SUB-015</x:v>
      </x:c>
      <x:c r="G18" s="65" t="str">
        <x:v>Current</x:v>
      </x:c>
      <x:c r="H18" s="65" t="str">
        <x:v>Merchant</x:v>
      </x:c>
      <x:c r="I18" s="65" t="str">
        <x:v>ENT-2015</x:v>
      </x:c>
      <x:c r="J18" s="65" t="str">
        <x:v>MAP-4</x:v>
      </x:c>
      <x:c r="K18" s="65" t="str">
        <x:v>Entity Both-3</x:v>
      </x:c>
      <x:c r="L18" s="65" t="str">
        <x:v>SET-5015</x:v>
      </x:c>
      <x:c r="M18" s="65" t="str">
        <x:v>Settlement Fee</x:v>
      </x:c>
      <x:c r="N18" s="65" t="str">
        <x:v>No</x:v>
      </x:c>
      <x:c r="O18" s="65" t="str">
        <x:v>VISA</x:v>
      </x:c>
      <x:c r="P18" s="65" t="str">
        <x:v>BL-4</x:v>
      </x:c>
      <x:c r="Q18" s="65" t="str">
        <x:v>Both</x:v>
      </x:c>
      <x:c r="R18" s="65" t="str">
        <x:v>Fixed</x:v>
      </x:c>
      <x:c r="S18" s="65" t="n">
        <x:v>1</x:v>
      </x:c>
      <x:c r="T18" s="65" t="str">
        <x:v>USD</x:v>
      </x:c>
      <x:c r="U18" s="76" t="n">
        <x:v>1200</x:v>
      </x:c>
      <x:c r="V18" s="76" t="n">
        <x:v>0.385</x:v>
      </x:c>
      <x:c r="W18" s="65" t="str">
        <x:v>USD</x:v>
      </x:c>
      <x:c r="X18" s="120" t="n">
        <x:v>1200</x:v>
      </x:c>
      <x:c r="Y18" s="65" t="str">
        <x:v>VAT</x:v>
      </x:c>
      <x:c r="Z18" s="120" t="n">
        <x:v>60</x:v>
      </x:c>
      <x:c r="AA18" s="121" t="n">
        <x:v>0.05</x:v>
      </x:c>
      <x:c r="AB18" s="65" t="str">
        <x:v>USD</x:v>
      </x:c>
      <x:c r="AC18" s="120" t="n">
        <x:v>1200</x:v>
      </x:c>
      <x:c r="AD18" s="120" t="n">
        <x:v>60</x:v>
      </x:c>
    </x:row>
    <x:row r="19">
      <x:c r="A19" s="65" t="str">
        <x:v>2026-07</x:v>
      </x:c>
      <x:c r="B19" s="75" t="n">
        <x:v>46219</x:v>
      </x:c>
      <x:c r="C19" s="65" t="str">
        <x:v>ACC-1016</x:v>
      </x:c>
      <x:c r="D19" s="65" t="str">
        <x:v>Customer Both-4</x:v>
      </x:c>
      <x:c r="E19" s="65" t="str">
        <x:v>INV-2026016</x:v>
      </x:c>
      <x:c r="F19" s="65" t="str">
        <x:v>SUB-016</x:v>
      </x:c>
      <x:c r="G19" s="65" t="str">
        <x:v>Current</x:v>
      </x:c>
      <x:c r="H19" s="65" t="str">
        <x:v>Corporate</x:v>
      </x:c>
      <x:c r="I19" s="65" t="str">
        <x:v>ENT-2016</x:v>
      </x:c>
      <x:c r="J19" s="65" t="str">
        <x:v>MAP-1</x:v>
      </x:c>
      <x:c r="K19" s="65" t="str">
        <x:v>Entity Both-4</x:v>
      </x:c>
      <x:c r="L19" s="65" t="str">
        <x:v>SET-5016</x:v>
      </x:c>
      <x:c r="M19" s="65" t="str">
        <x:v>Network Fee</x:v>
      </x:c>
      <x:c r="N19" s="65" t="str">
        <x:v>No</x:v>
      </x:c>
      <x:c r="O19" s="65" t="str">
        <x:v>MC</x:v>
      </x:c>
      <x:c r="P19" s="65" t="str">
        <x:v>BL-5</x:v>
      </x:c>
      <x:c r="Q19" s="65" t="str">
        <x:v>Both</x:v>
      </x:c>
      <x:c r="R19" s="65" t="str">
        <x:v>Variable</x:v>
      </x:c>
      <x:c r="S19" s="65" t="n">
        <x:v>2</x:v>
      </x:c>
      <x:c r="T19" s="65" t="str">
        <x:v>USD</x:v>
      </x:c>
      <x:c r="U19" s="76" t="n">
        <x:v>700</x:v>
      </x:c>
      <x:c r="V19" s="76" t="n">
        <x:v>0.385</x:v>
      </x:c>
      <x:c r="W19" s="65" t="str">
        <x:v>USD</x:v>
      </x:c>
      <x:c r="X19" s="120" t="n">
        <x:v>1400</x:v>
      </x:c>
      <x:c r="Y19" s="65" t="str">
        <x:v>VAT</x:v>
      </x:c>
      <x:c r="Z19" s="120" t="n">
        <x:v>70</x:v>
      </x:c>
      <x:c r="AA19" s="121" t="n">
        <x:v>0.05</x:v>
      </x:c>
      <x:c r="AB19" s="65" t="str">
        <x:v>USD</x:v>
      </x:c>
      <x:c r="AC19" s="120" t="n">
        <x:v>1400</x:v>
      </x:c>
      <x:c r="AD19" s="120" t="n">
        <x:v>70</x:v>
      </x:c>
    </x:row>
    <x:row r="20">
      <x:c r="A20" s="65" t="str">
        <x:v>2026-07</x:v>
      </x:c>
      <x:c r="B20" s="75" t="n">
        <x:v>46220</x:v>
      </x:c>
      <x:c r="C20" s="65" t="str">
        <x:v>ACC-1017</x:v>
      </x:c>
      <x:c r="D20" s="65" t="str">
        <x:v>Customer Both-5</x:v>
      </x:c>
      <x:c r="E20" s="65" t="str">
        <x:v>INV-2026017</x:v>
      </x:c>
      <x:c r="F20" s="65" t="str">
        <x:v>SUB-017</x:v>
      </x:c>
      <x:c r="G20" s="65" t="str">
        <x:v>Current</x:v>
      </x:c>
      <x:c r="H20" s="65" t="str">
        <x:v>Merchant</x:v>
      </x:c>
      <x:c r="I20" s="65" t="str">
        <x:v>ENT-2017</x:v>
      </x:c>
      <x:c r="J20" s="65" t="str">
        <x:v>MAP-2</x:v>
      </x:c>
      <x:c r="K20" s="65" t="str">
        <x:v>Entity Both-5</x:v>
      </x:c>
      <x:c r="L20" s="65" t="str">
        <x:v>SET-5017</x:v>
      </x:c>
      <x:c r="M20" s="65" t="str">
        <x:v>Service Charge</x:v>
      </x:c>
      <x:c r="N20" s="65" t="str">
        <x:v>No</x:v>
      </x:c>
      <x:c r="O20" s="65" t="str">
        <x:v>LOCAL</x:v>
      </x:c>
      <x:c r="P20" s="65" t="str">
        <x:v>BL-6</x:v>
      </x:c>
      <x:c r="Q20" s="65" t="str">
        <x:v>Both</x:v>
      </x:c>
      <x:c r="R20" s="65" t="str">
        <x:v>Fixed</x:v>
      </x:c>
      <x:c r="S20" s="65" t="n">
        <x:v>3</x:v>
      </x:c>
      <x:c r="T20" s="65" t="str">
        <x:v>USD</x:v>
      </x:c>
      <x:c r="U20" s="76" t="n">
        <x:v>533.333</x:v>
      </x:c>
      <x:c r="V20" s="76" t="n">
        <x:v>0.385</x:v>
      </x:c>
      <x:c r="W20" s="65" t="str">
        <x:v>USD</x:v>
      </x:c>
      <x:c r="X20" s="120" t="n">
        <x:v>1600</x:v>
      </x:c>
      <x:c r="Y20" s="65" t="str">
        <x:v>VAT</x:v>
      </x:c>
      <x:c r="Z20" s="120" t="n">
        <x:v>80</x:v>
      </x:c>
      <x:c r="AA20" s="121" t="n">
        <x:v>0.05</x:v>
      </x:c>
      <x:c r="AB20" s="65" t="str">
        <x:v>USD</x:v>
      </x:c>
      <x:c r="AC20" s="120" t="n">
        <x:v>1600</x:v>
      </x:c>
      <x:c r="AD20" s="120" t="n">
        <x:v>80</x:v>
      </x:c>
    </x:row>
    <x:row r="21">
      <x:c r="A21" s="65" t="str">
        <x:v>2026-07</x:v>
      </x:c>
      <x:c r="B21" s="75" t="n">
        <x:v>46221</x:v>
      </x:c>
      <x:c r="C21" s="65" t="str">
        <x:v>ACC-1018</x:v>
      </x:c>
      <x:c r="D21" s="65" t="str">
        <x:v>Customer Both-6</x:v>
      </x:c>
      <x:c r="E21" s="65" t="str">
        <x:v>INV-2026018</x:v>
      </x:c>
      <x:c r="F21" s="65" t="str">
        <x:v>SUB-018</x:v>
      </x:c>
      <x:c r="G21" s="65" t="str">
        <x:v>Current</x:v>
      </x:c>
      <x:c r="H21" s="65" t="str">
        <x:v>Corporate</x:v>
      </x:c>
      <x:c r="I21" s="65" t="str">
        <x:v>ENT-2018</x:v>
      </x:c>
      <x:c r="J21" s="65" t="str">
        <x:v>MAP-3</x:v>
      </x:c>
      <x:c r="K21" s="65" t="str">
        <x:v>Entity Both-6</x:v>
      </x:c>
      <x:c r="L21" s="65" t="str">
        <x:v>SET-5018</x:v>
      </x:c>
      <x:c r="M21" s="65" t="str">
        <x:v>Processing Fee</x:v>
      </x:c>
      <x:c r="N21" s="65" t="str">
        <x:v>No</x:v>
      </x:c>
      <x:c r="O21" s="65" t="str">
        <x:v>VISA</x:v>
      </x:c>
      <x:c r="P21" s="65" t="str">
        <x:v>BL-1</x:v>
      </x:c>
      <x:c r="Q21" s="65" t="str">
        <x:v>Both</x:v>
      </x:c>
      <x:c r="R21" s="65" t="str">
        <x:v>Variable</x:v>
      </x:c>
      <x:c r="S21" s="65" t="n">
        <x:v>4</x:v>
      </x:c>
      <x:c r="T21" s="65" t="str">
        <x:v>USD</x:v>
      </x:c>
      <x:c r="U21" s="76" t="n">
        <x:v>450</x:v>
      </x:c>
      <x:c r="V21" s="76" t="n">
        <x:v>0.385</x:v>
      </x:c>
      <x:c r="W21" s="65" t="str">
        <x:v>USD</x:v>
      </x:c>
      <x:c r="X21" s="120" t="n">
        <x:v>1800</x:v>
      </x:c>
      <x:c r="Y21" s="65" t="str">
        <x:v>VAT</x:v>
      </x:c>
      <x:c r="Z21" s="120" t="n">
        <x:v>90</x:v>
      </x:c>
      <x:c r="AA21" s="121" t="n">
        <x:v>0.05</x:v>
      </x:c>
      <x:c r="AB21" s="65" t="str">
        <x:v>USD</x:v>
      </x:c>
      <x:c r="AC21" s="120" t="n">
        <x:v>1800</x:v>
      </x:c>
      <x:c r="AD21" s="120" t="n">
        <x:v>90</x:v>
      </x:c>
    </x:row>
    <x:row r="22">
      <x:c r="A22" s="65" t="str">
        <x:v>2026-07</x:v>
      </x:c>
      <x:c r="B22" s="75" t="n">
        <x:v>46222</x:v>
      </x:c>
      <x:c r="C22" s="65" t="str">
        <x:v>ACC-1019</x:v>
      </x:c>
      <x:c r="D22" s="65" t="str">
        <x:v>Customer Extra-1</x:v>
      </x:c>
      <x:c r="E22" s="65" t="str">
        <x:v>INV-2026019</x:v>
      </x:c>
      <x:c r="F22" s="65" t="str">
        <x:v>SUB-019</x:v>
      </x:c>
      <x:c r="G22" s="65" t="str">
        <x:v>Previous</x:v>
      </x:c>
      <x:c r="H22" s="65" t="str">
        <x:v>Merchant</x:v>
      </x:c>
      <x:c r="I22" s="65" t="str">
        <x:v>ENT-2019</x:v>
      </x:c>
      <x:c r="J22" s="65" t="str">
        <x:v>MAP-4</x:v>
      </x:c>
      <x:c r="K22" s="65" t="str">
        <x:v>Entity Extra-1</x:v>
      </x:c>
      <x:c r="L22" s="65" t="str">
        <x:v>SET-5019</x:v>
      </x:c>
      <x:c r="M22" s="65" t="str">
        <x:v>Settlement Fee</x:v>
      </x:c>
      <x:c r="N22" s="65" t="str">
        <x:v>No</x:v>
      </x:c>
      <x:c r="O22" s="65" t="str">
        <x:v>MC</x:v>
      </x:c>
      <x:c r="P22" s="65" t="str">
        <x:v>BL-2</x:v>
      </x:c>
      <x:c r="Q22" s="65" t="str">
        <x:v>ACQR</x:v>
      </x:c>
      <x:c r="R22" s="65" t="str">
        <x:v>Fixed</x:v>
      </x:c>
      <x:c r="S22" s="65" t="n">
        <x:v>5</x:v>
      </x:c>
      <x:c r="T22" s="65" t="str">
        <x:v>USD</x:v>
      </x:c>
      <x:c r="U22" s="76" t="n">
        <x:v>620</x:v>
      </x:c>
      <x:c r="V22" s="76" t="n">
        <x:v>0.385</x:v>
      </x:c>
      <x:c r="W22" s="65" t="str">
        <x:v>USD</x:v>
      </x:c>
      <x:c r="X22" s="120" t="n">
        <x:v>3100</x:v>
      </x:c>
      <x:c r="Y22" s="65" t="str">
        <x:v>VAT</x:v>
      </x:c>
      <x:c r="Z22" s="120" t="n">
        <x:v>155</x:v>
      </x:c>
      <x:c r="AA22" s="121" t="n">
        <x:v>0.05</x:v>
      </x:c>
      <x:c r="AB22" s="65" t="str">
        <x:v>USD</x:v>
      </x:c>
      <x:c r="AC22" s="120" t="n">
        <x:v>3100</x:v>
      </x:c>
      <x:c r="AD22" s="120" t="n">
        <x:v>155</x:v>
      </x:c>
    </x:row>
    <x:row r="23">
      <x:c r="A23" s="65" t="str">
        <x:v>2026-07</x:v>
      </x:c>
      <x:c r="B23" s="75" t="n">
        <x:v>46223</x:v>
      </x:c>
      <x:c r="C23" s="65" t="str">
        <x:v>ACC-1020</x:v>
      </x:c>
      <x:c r="D23" s="65" t="str">
        <x:v>Customer Extra-2</x:v>
      </x:c>
      <x:c r="E23" s="65" t="str">
        <x:v>INV-2026020</x:v>
      </x:c>
      <x:c r="F23" s="65" t="str">
        <x:v>SUB-020</x:v>
      </x:c>
      <x:c r="G23" s="65" t="str">
        <x:v>Previous</x:v>
      </x:c>
      <x:c r="H23" s="65" t="str">
        <x:v>Corporate</x:v>
      </x:c>
      <x:c r="I23" s="65" t="str">
        <x:v>ENT-2020</x:v>
      </x:c>
      <x:c r="J23" s="65" t="str">
        <x:v>MAP-1</x:v>
      </x:c>
      <x:c r="K23" s="65" t="str">
        <x:v>Entity Extra-2</x:v>
      </x:c>
      <x:c r="L23" s="65" t="str">
        <x:v>SET-5020</x:v>
      </x:c>
      <x:c r="M23" s="65" t="str">
        <x:v>Network Fee</x:v>
      </x:c>
      <x:c r="N23" s="65" t="str">
        <x:v>No</x:v>
      </x:c>
      <x:c r="O23" s="65" t="str">
        <x:v>LOCAL</x:v>
      </x:c>
      <x:c r="P23" s="65" t="str">
        <x:v>BL-3</x:v>
      </x:c>
      <x:c r="Q23" s="65" t="str">
        <x:v>ISSR</x:v>
      </x:c>
      <x:c r="R23" s="65" t="str">
        <x:v>Variable</x:v>
      </x:c>
      <x:c r="S23" s="65" t="n">
        <x:v>1</x:v>
      </x:c>
      <x:c r="T23" s="65" t="str">
        <x:v>USD</x:v>
      </x:c>
      <x:c r="U23" s="76" t="n">
        <x:v>2850</x:v>
      </x:c>
      <x:c r="V23" s="76" t="n">
        <x:v>0.385</x:v>
      </x:c>
      <x:c r="W23" s="65" t="str">
        <x:v>USD</x:v>
      </x:c>
      <x:c r="X23" s="120" t="n">
        <x:v>2850</x:v>
      </x:c>
      <x:c r="Y23" s="65" t="str">
        <x:v>VAT</x:v>
      </x:c>
      <x:c r="Z23" s="120" t="n">
        <x:v>142.5</x:v>
      </x:c>
      <x:c r="AA23" s="121" t="n">
        <x:v>0.05</x:v>
      </x:c>
      <x:c r="AB23" s="65" t="str">
        <x:v>USD</x:v>
      </x:c>
      <x:c r="AC23" s="120" t="n">
        <x:v>2850</x:v>
      </x:c>
      <x:c r="AD23" s="120" t="n">
        <x:v>142.5</x:v>
      </x:c>
    </x:row>
    <x:row r="24">
      <x:c r="A24" s="65" t="str">
        <x:v>2026-08</x:v>
      </x:c>
      <x:c r="B24" s="75" t="n">
        <x:v>46255</x:v>
      </x:c>
      <x:c r="C24" s="65" t="str">
        <x:v>ACC-1021</x:v>
      </x:c>
      <x:c r="D24" s="65" t="str">
        <x:v>Customer Extra-3</x:v>
      </x:c>
      <x:c r="E24" s="65" t="str">
        <x:v>INV-2026021</x:v>
      </x:c>
      <x:c r="F24" s="65" t="str">
        <x:v>SUB-021</x:v>
      </x:c>
      <x:c r="G24" s="65" t="str">
        <x:v>Previous</x:v>
      </x:c>
      <x:c r="H24" s="65" t="str">
        <x:v>Merchant</x:v>
      </x:c>
      <x:c r="I24" s="65" t="str">
        <x:v>ENT-2021</x:v>
      </x:c>
      <x:c r="J24" s="65" t="str">
        <x:v>MAP-2</x:v>
      </x:c>
      <x:c r="K24" s="65" t="str">
        <x:v>Entity Extra-3</x:v>
      </x:c>
      <x:c r="L24" s="65" t="str">
        <x:v>SET-5021</x:v>
      </x:c>
      <x:c r="M24" s="65" t="str">
        <x:v>Service Charge</x:v>
      </x:c>
      <x:c r="N24" s="65" t="str">
        <x:v>No</x:v>
      </x:c>
      <x:c r="O24" s="65" t="str">
        <x:v>VISA</x:v>
      </x:c>
      <x:c r="P24" s="65" t="str">
        <x:v>BL-4</x:v>
      </x:c>
      <x:c r="Q24" s="65" t="str">
        <x:v>Both</x:v>
      </x:c>
      <x:c r="R24" s="65" t="str">
        <x:v>Fixed</x:v>
      </x:c>
      <x:c r="S24" s="65" t="n">
        <x:v>2</x:v>
      </x:c>
      <x:c r="T24" s="65" t="str">
        <x:v>USD</x:v>
      </x:c>
      <x:c r="U24" s="76" t="n">
        <x:v>1300</x:v>
      </x:c>
      <x:c r="V24" s="76" t="n">
        <x:v>0.385</x:v>
      </x:c>
      <x:c r="W24" s="65" t="str">
        <x:v>USD</x:v>
      </x:c>
      <x:c r="X24" s="120" t="n">
        <x:v>2600</x:v>
      </x:c>
      <x:c r="Y24" s="65" t="str">
        <x:v>VAT</x:v>
      </x:c>
      <x:c r="Z24" s="120" t="n">
        <x:v>130</x:v>
      </x:c>
      <x:c r="AA24" s="121" t="n">
        <x:v>0.05</x:v>
      </x:c>
      <x:c r="AB24" s="65" t="str">
        <x:v>USD</x:v>
      </x:c>
      <x:c r="AC24" s="120" t="n">
        <x:v>2600</x:v>
      </x:c>
      <x:c r="AD24" s="120" t="n">
        <x:v>130</x:v>
      </x:c>
    </x:row>
    <x:row r="25">
      <x:c r="A25" s="65" t="str">
        <x:v>2026-08</x:v>
      </x:c>
      <x:c r="B25" s="75" t="n">
        <x:v>46256</x:v>
      </x:c>
      <x:c r="C25" s="65" t="str">
        <x:v>ACC-1022</x:v>
      </x:c>
      <x:c r="D25" s="65" t="str">
        <x:v>Customer Extra-4</x:v>
      </x:c>
      <x:c r="E25" s="65" t="str">
        <x:v>INV-2026022</x:v>
      </x:c>
      <x:c r="F25" s="65" t="str">
        <x:v>SUB-022</x:v>
      </x:c>
      <x:c r="G25" s="65" t="str">
        <x:v>Current</x:v>
      </x:c>
      <x:c r="H25" s="65" t="str">
        <x:v>Corporate</x:v>
      </x:c>
      <x:c r="I25" s="65" t="str">
        <x:v>ENT-2022</x:v>
      </x:c>
      <x:c r="J25" s="65" t="str">
        <x:v>MAP-3</x:v>
      </x:c>
      <x:c r="K25" s="65" t="str">
        <x:v>Entity Extra-4</x:v>
      </x:c>
      <x:c r="L25" s="65" t="str">
        <x:v>SET-5022</x:v>
      </x:c>
      <x:c r="M25" s="65" t="str">
        <x:v>Processing Fee</x:v>
      </x:c>
      <x:c r="N25" s="65" t="str">
        <x:v>No</x:v>
      </x:c>
      <x:c r="O25" s="65" t="str">
        <x:v>MC</x:v>
      </x:c>
      <x:c r="P25" s="65" t="str">
        <x:v>BL-5</x:v>
      </x:c>
      <x:c r="Q25" s="65" t="str">
        <x:v>ACQR</x:v>
      </x:c>
      <x:c r="R25" s="65" t="str">
        <x:v>Variable</x:v>
      </x:c>
      <x:c r="S25" s="65" t="n">
        <x:v>3</x:v>
      </x:c>
      <x:c r="T25" s="65" t="str">
        <x:v>OMR</x:v>
      </x:c>
      <x:c r="U25" s="76" t="n">
        <x:v>326.667</x:v>
      </x:c>
      <x:c r="V25" s="76" t="n">
        <x:v>1</x:v>
      </x:c>
      <x:c r="W25" s="65" t="str">
        <x:v>OMR</x:v>
      </x:c>
      <x:c r="X25" s="120" t="n">
        <x:v>980</x:v>
      </x:c>
      <x:c r="Y25" s="65" t="str">
        <x:v>VAT</x:v>
      </x:c>
      <x:c r="Z25" s="120" t="n">
        <x:v>49</x:v>
      </x:c>
      <x:c r="AA25" s="121" t="n">
        <x:v>0.05</x:v>
      </x:c>
      <x:c r="AB25" s="65" t="str">
        <x:v>OMR</x:v>
      </x:c>
      <x:c r="AC25" s="120" t="n">
        <x:v>980</x:v>
      </x:c>
      <x:c r="AD25" s="120" t="n">
        <x:v>49</x:v>
      </x:c>
    </x:row>
    <x:row r="26">
      <x:c r="A26" s="65" t="str">
        <x:v>2026-08</x:v>
      </x:c>
      <x:c r="B26" s="75" t="n">
        <x:v>46257</x:v>
      </x:c>
      <x:c r="C26" s="65" t="str">
        <x:v>ACC-1023</x:v>
      </x:c>
      <x:c r="D26" s="65" t="str">
        <x:v>Customer Extra-5</x:v>
      </x:c>
      <x:c r="E26" s="65" t="str">
        <x:v>INV-2026023</x:v>
      </x:c>
      <x:c r="F26" s="65" t="str">
        <x:v>SUB-023</x:v>
      </x:c>
      <x:c r="G26" s="65" t="str">
        <x:v>Current</x:v>
      </x:c>
      <x:c r="H26" s="65" t="str">
        <x:v>Merchant</x:v>
      </x:c>
      <x:c r="I26" s="65" t="str">
        <x:v>ENT-2023</x:v>
      </x:c>
      <x:c r="J26" s="65" t="str">
        <x:v>MAP-4</x:v>
      </x:c>
      <x:c r="K26" s="65" t="str">
        <x:v>Entity Extra-5</x:v>
      </x:c>
      <x:c r="L26" s="65" t="str">
        <x:v>SET-5023</x:v>
      </x:c>
      <x:c r="M26" s="65" t="str">
        <x:v>Settlement Fee</x:v>
      </x:c>
      <x:c r="N26" s="65" t="str">
        <x:v>No</x:v>
      </x:c>
      <x:c r="O26" s="65" t="str">
        <x:v>LOCAL</x:v>
      </x:c>
      <x:c r="P26" s="65" t="str">
        <x:v>BL-6</x:v>
      </x:c>
      <x:c r="Q26" s="65" t="str">
        <x:v>ISSR</x:v>
      </x:c>
      <x:c r="R26" s="65" t="str">
        <x:v>Fixed</x:v>
      </x:c>
      <x:c r="S26" s="65" t="n">
        <x:v>4</x:v>
      </x:c>
      <x:c r="T26" s="65" t="str">
        <x:v>OMR</x:v>
      </x:c>
      <x:c r="U26" s="76" t="n">
        <x:v>215</x:v>
      </x:c>
      <x:c r="V26" s="76" t="n">
        <x:v>1</x:v>
      </x:c>
      <x:c r="W26" s="65" t="str">
        <x:v>OMR</x:v>
      </x:c>
      <x:c r="X26" s="120" t="n">
        <x:v>860</x:v>
      </x:c>
      <x:c r="Y26" s="65" t="str">
        <x:v>VAT</x:v>
      </x:c>
      <x:c r="Z26" s="120" t="n">
        <x:v>43</x:v>
      </x:c>
      <x:c r="AA26" s="121" t="n">
        <x:v>0.05</x:v>
      </x:c>
      <x:c r="AB26" s="65" t="str">
        <x:v>OMR</x:v>
      </x:c>
      <x:c r="AC26" s="120" t="n">
        <x:v>860</x:v>
      </x:c>
      <x:c r="AD26" s="120" t="n">
        <x:v>43</x:v>
      </x:c>
    </x:row>
    <x:row r="27">
      <x:c r="A27" s="65" t="str">
        <x:v>2026-08</x:v>
      </x:c>
      <x:c r="B27" s="75" t="n">
        <x:v>46258</x:v>
      </x:c>
      <x:c r="C27" s="65" t="str">
        <x:v>ACC-1024</x:v>
      </x:c>
      <x:c r="D27" s="65" t="str">
        <x:v>Customer Extra-6</x:v>
      </x:c>
      <x:c r="E27" s="65" t="str">
        <x:v>INV-2026024</x:v>
      </x:c>
      <x:c r="F27" s="65" t="str">
        <x:v>SUB-024</x:v>
      </x:c>
      <x:c r="G27" s="65" t="str">
        <x:v>Current</x:v>
      </x:c>
      <x:c r="H27" s="65" t="str">
        <x:v>Corporate</x:v>
      </x:c>
      <x:c r="I27" s="65" t="str">
        <x:v>ENT-2024</x:v>
      </x:c>
      <x:c r="J27" s="65" t="str">
        <x:v>MAP-1</x:v>
      </x:c>
      <x:c r="K27" s="65" t="str">
        <x:v>Entity Extra-6</x:v>
      </x:c>
      <x:c r="L27" s="65" t="str">
        <x:v>SET-5024</x:v>
      </x:c>
      <x:c r="M27" s="65" t="str">
        <x:v>Network Fee</x:v>
      </x:c>
      <x:c r="N27" s="65" t="str">
        <x:v>No</x:v>
      </x:c>
      <x:c r="O27" s="65" t="str">
        <x:v>VISA</x:v>
      </x:c>
      <x:c r="P27" s="65" t="str">
        <x:v>BL-1</x:v>
      </x:c>
      <x:c r="Q27" s="65" t="str">
        <x:v>Both</x:v>
      </x:c>
      <x:c r="R27" s="65" t="str">
        <x:v>Variable</x:v>
      </x:c>
      <x:c r="S27" s="65" t="n">
        <x:v>5</x:v>
      </x:c>
      <x:c r="T27" s="65" t="str">
        <x:v>OMR</x:v>
      </x:c>
      <x:c r="U27" s="76" t="n">
        <x:v>148</x:v>
      </x:c>
      <x:c r="V27" s="76" t="n">
        <x:v>1</x:v>
      </x:c>
      <x:c r="W27" s="65" t="str">
        <x:v>OMR</x:v>
      </x:c>
      <x:c r="X27" s="120" t="n">
        <x:v>740</x:v>
      </x:c>
      <x:c r="Y27" s="65" t="str">
        <x:v>VAT</x:v>
      </x:c>
      <x:c r="Z27" s="120" t="n">
        <x:v>37</x:v>
      </x:c>
      <x:c r="AA27" s="121" t="n">
        <x:v>0.05</x:v>
      </x:c>
      <x:c r="AB27" s="65" t="str">
        <x:v>OMR</x:v>
      </x:c>
      <x:c r="AC27" s="120" t="n">
        <x:v>740</x:v>
      </x:c>
      <x:c r="AD27" s="120" t="n">
        <x:v>37</x:v>
      </x:c>
    </x:row>
    <x:row r="28">
      <x:c r="A28" s="65" t="str">
        <x:v>2026-08</x:v>
      </x:c>
      <x:c r="B28" s="75" t="n">
        <x:v>46259</x:v>
      </x:c>
      <x:c r="C28" s="65" t="str">
        <x:v>ACC-1025</x:v>
      </x:c>
      <x:c r="D28" s="65" t="str">
        <x:v>Customer Extra-7</x:v>
      </x:c>
      <x:c r="E28" s="65" t="str">
        <x:v>INV-2026025</x:v>
      </x:c>
      <x:c r="F28" s="65" t="str">
        <x:v>SUB-025</x:v>
      </x:c>
      <x:c r="G28" s="65" t="str">
        <x:v>Previous</x:v>
      </x:c>
      <x:c r="H28" s="65" t="str">
        <x:v>Merchant</x:v>
      </x:c>
      <x:c r="I28" s="65" t="str">
        <x:v>ENT-2025</x:v>
      </x:c>
      <x:c r="J28" s="65" t="str">
        <x:v>MAP-2</x:v>
      </x:c>
      <x:c r="K28" s="65" t="str">
        <x:v>Entity Extra-7</x:v>
      </x:c>
      <x:c r="L28" s="65" t="str">
        <x:v>SET-5025</x:v>
      </x:c>
      <x:c r="M28" s="65" t="str">
        <x:v>Service Charge</x:v>
      </x:c>
      <x:c r="N28" s="65" t="str">
        <x:v>No</x:v>
      </x:c>
      <x:c r="O28" s="65" t="str">
        <x:v>MC</x:v>
      </x:c>
      <x:c r="P28" s="65" t="str">
        <x:v>BL-2</x:v>
      </x:c>
      <x:c r="Q28" s="65" t="str">
        <x:v>ACQR</x:v>
      </x:c>
      <x:c r="R28" s="65" t="str">
        <x:v>Fixed</x:v>
      </x:c>
      <x:c r="S28" s="65" t="n">
        <x:v>1</x:v>
      </x:c>
      <x:c r="T28" s="65" t="str">
        <x:v>OMR</x:v>
      </x:c>
      <x:c r="U28" s="76" t="n">
        <x:v>620</x:v>
      </x:c>
      <x:c r="V28" s="76" t="n">
        <x:v>1</x:v>
      </x:c>
      <x:c r="W28" s="65" t="str">
        <x:v>OMR</x:v>
      </x:c>
      <x:c r="X28" s="120" t="n">
        <x:v>620</x:v>
      </x:c>
      <x:c r="Y28" s="65" t="str">
        <x:v>VAT</x:v>
      </x:c>
      <x:c r="Z28" s="120" t="n">
        <x:v>31</x:v>
      </x:c>
      <x:c r="AA28" s="121" t="n">
        <x:v>0.05</x:v>
      </x:c>
      <x:c r="AB28" s="65" t="str">
        <x:v>OMR</x:v>
      </x:c>
      <x:c r="AC28" s="120" t="n">
        <x:v>620</x:v>
      </x:c>
      <x:c r="AD28" s="120" t="n">
        <x:v>31</x:v>
      </x:c>
    </x:row>
    <x:row r="29">
      <x:c r="A29" s="65" t="str">
        <x:v>2026-08</x:v>
      </x:c>
      <x:c r="B29" s="75" t="n">
        <x:v>46260</x:v>
      </x:c>
      <x:c r="C29" s="65" t="str">
        <x:v>ACC-1026</x:v>
      </x:c>
      <x:c r="D29" s="65" t="str">
        <x:v>Customer Extra-8</x:v>
      </x:c>
      <x:c r="E29" s="65" t="str">
        <x:v>INV-2026026</x:v>
      </x:c>
      <x:c r="F29" s="65" t="str">
        <x:v>SUB-026</x:v>
      </x:c>
      <x:c r="G29" s="65" t="str">
        <x:v>Previous</x:v>
      </x:c>
      <x:c r="H29" s="65" t="str">
        <x:v>Corporate</x:v>
      </x:c>
      <x:c r="I29" s="65" t="str">
        <x:v>ENT-2026</x:v>
      </x:c>
      <x:c r="J29" s="65" t="str">
        <x:v>MAP-3</x:v>
      </x:c>
      <x:c r="K29" s="65" t="str">
        <x:v>Entity Extra-8</x:v>
      </x:c>
      <x:c r="L29" s="65" t="str">
        <x:v>SET-5026</x:v>
      </x:c>
      <x:c r="M29" s="65" t="str">
        <x:v>Processing Fee</x:v>
      </x:c>
      <x:c r="N29" s="65" t="str">
        <x:v>No</x:v>
      </x:c>
      <x:c r="O29" s="65" t="str">
        <x:v>LOCAL</x:v>
      </x:c>
      <x:c r="P29" s="65" t="str">
        <x:v>BL-3</x:v>
      </x:c>
      <x:c r="Q29" s="65" t="str">
        <x:v>ISSR</x:v>
      </x:c>
      <x:c r="R29" s="65" t="str">
        <x:v>Variable</x:v>
      </x:c>
      <x:c r="S29" s="65" t="n">
        <x:v>2</x:v>
      </x:c>
      <x:c r="T29" s="65" t="str">
        <x:v>OMR</x:v>
      </x:c>
      <x:c r="U29" s="76" t="n">
        <x:v>285</x:v>
      </x:c>
      <x:c r="V29" s="76" t="n">
        <x:v>1</x:v>
      </x:c>
      <x:c r="W29" s="65" t="str">
        <x:v>OMR</x:v>
      </x:c>
      <x:c r="X29" s="120" t="n">
        <x:v>570</x:v>
      </x:c>
      <x:c r="Y29" s="65" t="str">
        <x:v>VAT</x:v>
      </x:c>
      <x:c r="Z29" s="120" t="n">
        <x:v>28.5</x:v>
      </x:c>
      <x:c r="AA29" s="121" t="n">
        <x:v>0.05</x:v>
      </x:c>
      <x:c r="AB29" s="65" t="str">
        <x:v>OMR</x:v>
      </x:c>
      <x:c r="AC29" s="120" t="n">
        <x:v>570</x:v>
      </x:c>
      <x:c r="AD29" s="120" t="n">
        <x:v>28.5</x:v>
      </x:c>
    </x:row>
    <x:row r="30">
      <x:c r="A30" s="65" t="str">
        <x:v>2026-08</x:v>
      </x:c>
      <x:c r="B30" s="75" t="n">
        <x:v>46261</x:v>
      </x:c>
      <x:c r="C30" s="65" t="str">
        <x:v>ACC-1027</x:v>
      </x:c>
      <x:c r="D30" s="65" t="str">
        <x:v>Customer Extra-9</x:v>
      </x:c>
      <x:c r="E30" s="65" t="str">
        <x:v>INV-2026027</x:v>
      </x:c>
      <x:c r="F30" s="65" t="str">
        <x:v>SUB-027</x:v>
      </x:c>
      <x:c r="G30" s="65" t="str">
        <x:v>Previous</x:v>
      </x:c>
      <x:c r="H30" s="65" t="str">
        <x:v>Merchant</x:v>
      </x:c>
      <x:c r="I30" s="65" t="str">
        <x:v>ENT-2027</x:v>
      </x:c>
      <x:c r="J30" s="65" t="str">
        <x:v>MAP-4</x:v>
      </x:c>
      <x:c r="K30" s="65" t="str">
        <x:v>Entity Extra-9</x:v>
      </x:c>
      <x:c r="L30" s="65" t="str">
        <x:v>SET-5027</x:v>
      </x:c>
      <x:c r="M30" s="65" t="str">
        <x:v>Settlement Fee</x:v>
      </x:c>
      <x:c r="N30" s="65" t="str">
        <x:v>No</x:v>
      </x:c>
      <x:c r="O30" s="65" t="str">
        <x:v>VISA</x:v>
      </x:c>
      <x:c r="P30" s="65" t="str">
        <x:v>BL-4</x:v>
      </x:c>
      <x:c r="Q30" s="65" t="str">
        <x:v>Both</x:v>
      </x:c>
      <x:c r="R30" s="65" t="str">
        <x:v>Fixed</x:v>
      </x:c>
      <x:c r="S30" s="65" t="n">
        <x:v>3</x:v>
      </x:c>
      <x:c r="T30" s="65" t="str">
        <x:v>OMR</x:v>
      </x:c>
      <x:c r="U30" s="76" t="n">
        <x:v>176.667</x:v>
      </x:c>
      <x:c r="V30" s="76" t="n">
        <x:v>1</x:v>
      </x:c>
      <x:c r="W30" s="65" t="str">
        <x:v>OMR</x:v>
      </x:c>
      <x:c r="X30" s="120" t="n">
        <x:v>530</x:v>
      </x:c>
      <x:c r="Y30" s="65" t="str">
        <x:v>VAT</x:v>
      </x:c>
      <x:c r="Z30" s="120" t="n">
        <x:v>26.5</x:v>
      </x:c>
      <x:c r="AA30" s="121" t="n">
        <x:v>0.05</x:v>
      </x:c>
      <x:c r="AB30" s="65" t="str">
        <x:v>OMR</x:v>
      </x:c>
      <x:c r="AC30" s="120" t="n">
        <x:v>530</x:v>
      </x:c>
      <x:c r="AD30" s="120" t="n">
        <x:v>26.5</x:v>
      </x:c>
    </x:row>
    <x:row r="31">
      <x:c r="A31" s="65" t="str">
        <x:v>2026-08</x:v>
      </x:c>
      <x:c r="B31" s="75" t="n">
        <x:v>46262</x:v>
      </x:c>
      <x:c r="C31" s="65" t="str">
        <x:v>ACC-1028</x:v>
      </x:c>
      <x:c r="D31" s="65" t="str">
        <x:v>Customer Extra-10</x:v>
      </x:c>
      <x:c r="E31" s="65" t="str">
        <x:v>INV-2026028</x:v>
      </x:c>
      <x:c r="F31" s="65" t="str">
        <x:v>SUB-028</x:v>
      </x:c>
      <x:c r="G31" s="65" t="str">
        <x:v>Current</x:v>
      </x:c>
      <x:c r="H31" s="65" t="str">
        <x:v>Corporate</x:v>
      </x:c>
      <x:c r="I31" s="65" t="str">
        <x:v>ENT-2028</x:v>
      </x:c>
      <x:c r="J31" s="65" t="str">
        <x:v>MAP-1</x:v>
      </x:c>
      <x:c r="K31" s="65" t="str">
        <x:v>Entity Extra-10</x:v>
      </x:c>
      <x:c r="L31" s="65" t="str">
        <x:v>SET-5028</x:v>
      </x:c>
      <x:c r="M31" s="65" t="str">
        <x:v>Network Fee</x:v>
      </x:c>
      <x:c r="N31" s="65" t="str">
        <x:v>No</x:v>
      </x:c>
      <x:c r="O31" s="65" t="str">
        <x:v>MC</x:v>
      </x:c>
      <x:c r="P31" s="65" t="str">
        <x:v>BL-5</x:v>
      </x:c>
      <x:c r="Q31" s="65" t="str">
        <x:v>ACQR</x:v>
      </x:c>
      <x:c r="R31" s="65" t="str">
        <x:v>Variable</x:v>
      </x:c>
      <x:c r="S31" s="65" t="n">
        <x:v>4</x:v>
      </x:c>
      <x:c r="T31" s="65" t="str">
        <x:v>OMR</x:v>
      </x:c>
      <x:c r="U31" s="76" t="n">
        <x:v>280</x:v>
      </x:c>
      <x:c r="V31" s="76" t="n">
        <x:v>1</x:v>
      </x:c>
      <x:c r="W31" s="65" t="str">
        <x:v>OMR</x:v>
      </x:c>
      <x:c r="X31" s="120" t="n">
        <x:v>1120</x:v>
      </x:c>
      <x:c r="Y31" s="65" t="str">
        <x:v>VAT</x:v>
      </x:c>
      <x:c r="Z31" s="120" t="n">
        <x:v>56</x:v>
      </x:c>
      <x:c r="AA31" s="121" t="n">
        <x:v>0.05</x:v>
      </x:c>
      <x:c r="AB31" s="65" t="str">
        <x:v>OMR</x:v>
      </x:c>
      <x:c r="AC31" s="120" t="n">
        <x:v>1120</x:v>
      </x:c>
      <x:c r="AD31" s="120" t="n">
        <x:v>56</x:v>
      </x:c>
    </x:row>
    <x:row r="32">
      <x:c r="A32" s="65" t="str">
        <x:v>2026-08</x:v>
      </x:c>
      <x:c r="B32" s="75" t="n">
        <x:v>46235</x:v>
      </x:c>
      <x:c r="C32" s="65" t="str">
        <x:v>ACC-1029</x:v>
      </x:c>
      <x:c r="D32" s="65" t="str">
        <x:v>Customer Extra-11</x:v>
      </x:c>
      <x:c r="E32" s="65" t="str">
        <x:v>INV-2026029</x:v>
      </x:c>
      <x:c r="F32" s="65" t="str">
        <x:v>SUB-029</x:v>
      </x:c>
      <x:c r="G32" s="65" t="str">
        <x:v>Current</x:v>
      </x:c>
      <x:c r="H32" s="65" t="str">
        <x:v>Merchant</x:v>
      </x:c>
      <x:c r="I32" s="65" t="str">
        <x:v>ENT-2029</x:v>
      </x:c>
      <x:c r="J32" s="65" t="str">
        <x:v>MAP-2</x:v>
      </x:c>
      <x:c r="K32" s="65" t="str">
        <x:v>Entity Extra-11</x:v>
      </x:c>
      <x:c r="L32" s="65" t="str">
        <x:v>SET-5029</x:v>
      </x:c>
      <x:c r="M32" s="65" t="str">
        <x:v>Service Charge</x:v>
      </x:c>
      <x:c r="N32" s="65" t="str">
        <x:v>No</x:v>
      </x:c>
      <x:c r="O32" s="65" t="str">
        <x:v>LOCAL</x:v>
      </x:c>
      <x:c r="P32" s="65" t="str">
        <x:v>BL-6</x:v>
      </x:c>
      <x:c r="Q32" s="65" t="str">
        <x:v>ISSR</x:v>
      </x:c>
      <x:c r="R32" s="65" t="str">
        <x:v>Fixed</x:v>
      </x:c>
      <x:c r="S32" s="65" t="n">
        <x:v>5</x:v>
      </x:c>
      <x:c r="T32" s="65" t="str">
        <x:v>OMR</x:v>
      </x:c>
      <x:c r="U32" s="76" t="n">
        <x:v>198</x:v>
      </x:c>
      <x:c r="V32" s="76" t="n">
        <x:v>1</x:v>
      </x:c>
      <x:c r="W32" s="65" t="str">
        <x:v>OMR</x:v>
      </x:c>
      <x:c r="X32" s="120" t="n">
        <x:v>990</x:v>
      </x:c>
      <x:c r="Y32" s="65" t="str">
        <x:v>VAT</x:v>
      </x:c>
      <x:c r="Z32" s="120" t="n">
        <x:v>49.5</x:v>
      </x:c>
      <x:c r="AA32" s="121" t="n">
        <x:v>0.05</x:v>
      </x:c>
      <x:c r="AB32" s="65" t="str">
        <x:v>OMR</x:v>
      </x:c>
      <x:c r="AC32" s="120" t="n">
        <x:v>990</x:v>
      </x:c>
      <x:c r="AD32" s="120" t="n">
        <x:v>49.5</x:v>
      </x:c>
    </x:row>
    <x:row r="33">
      <x:c r="A33" s="65" t="str">
        <x:v>2026-08</x:v>
      </x:c>
      <x:c r="B33" s="75" t="n">
        <x:v>46236</x:v>
      </x:c>
      <x:c r="C33" s="65" t="str">
        <x:v>ACC-1030</x:v>
      </x:c>
      <x:c r="D33" s="65" t="str">
        <x:v>Customer Extra-12</x:v>
      </x:c>
      <x:c r="E33" s="65" t="str">
        <x:v>INV-2026030</x:v>
      </x:c>
      <x:c r="F33" s="65" t="str">
        <x:v>SUB-030</x:v>
      </x:c>
      <x:c r="G33" s="65" t="str">
        <x:v>Current</x:v>
      </x:c>
      <x:c r="H33" s="65" t="str">
        <x:v>Corporate</x:v>
      </x:c>
      <x:c r="I33" s="65" t="str">
        <x:v>ENT-2030</x:v>
      </x:c>
      <x:c r="J33" s="65" t="str">
        <x:v>MAP-3</x:v>
      </x:c>
      <x:c r="K33" s="65" t="str">
        <x:v>Entity Extra-12</x:v>
      </x:c>
      <x:c r="L33" s="65" t="str">
        <x:v>SET-5030</x:v>
      </x:c>
      <x:c r="M33" s="65" t="str">
        <x:v>Processing Fee</x:v>
      </x:c>
      <x:c r="N33" s="65" t="str">
        <x:v>No</x:v>
      </x:c>
      <x:c r="O33" s="65" t="str">
        <x:v>VISA</x:v>
      </x:c>
      <x:c r="P33" s="65" t="str">
        <x:v>BL-1</x:v>
      </x:c>
      <x:c r="Q33" s="65" t="str">
        <x:v>Both</x:v>
      </x:c>
      <x:c r="R33" s="65" t="str">
        <x:v>Variable</x:v>
      </x:c>
      <x:c r="S33" s="65" t="n">
        <x:v>1</x:v>
      </x:c>
      <x:c r="T33" s="65" t="str">
        <x:v>OMR</x:v>
      </x:c>
      <x:c r="U33" s="76" t="n">
        <x:v>880</x:v>
      </x:c>
      <x:c r="V33" s="76" t="n">
        <x:v>1</x:v>
      </x:c>
      <x:c r="W33" s="65" t="str">
        <x:v>OMR</x:v>
      </x:c>
      <x:c r="X33" s="120" t="n">
        <x:v>880</x:v>
      </x:c>
      <x:c r="Y33" s="65" t="str">
        <x:v>VAT</x:v>
      </x:c>
      <x:c r="Z33" s="120" t="n">
        <x:v>44</x:v>
      </x:c>
      <x:c r="AA33" s="121" t="n">
        <x:v>0.05</x:v>
      </x:c>
      <x:c r="AB33" s="65" t="str">
        <x:v>OMR</x:v>
      </x:c>
      <x:c r="AC33" s="120" t="n">
        <x:v>880</x:v>
      </x:c>
      <x:c r="AD33" s="120" t="n">
        <x:v>44</x:v>
      </x:c>
    </x:row>
  </x:sheetData>
  <x:mergeCells>
    <x:mergeCell ref="A1:AD1"/>
  </x:mergeCells>
  <x:conditionalFormatting sqref="Q4:Q33">
    <x:cfRule type="expression" dxfId="2" priority="1">
      <x:formula>Q4="ACQR"</x:formula>
    </x:cfRule>
    <x:cfRule type="expression" dxfId="3" priority="2">
      <x:formula>Q4="ISSR"</x:formula>
    </x:cfRule>
    <x:cfRule type="expression" dxfId="4" priority="3">
      <x:formula>Q4="Both"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3c282f256ef44e5"/>
  </x:tableParts>
</x:worksheet>
</file>