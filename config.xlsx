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505d24b1bc54893" /></Relationships>
</file>

<file path=xl/workbook.xml><?xml version="1.0" encoding="utf-8"?>
<x:workbook xmlns:x="http://schemas.openxmlformats.org/spreadsheetml/2006/main">
  <x:sheets>
    <x:sheet xmlns:r="http://schemas.openxmlformats.org/officeDocument/2006/relationships" name="Settings" sheetId="1" r:id="R7d81bcf191c149ad"/>
    <x:sheet xmlns:r="http://schemas.openxmlformats.org/officeDocument/2006/relationships" name="TopWinners" sheetId="2" r:id="Rf9232fedabf041c5"/>
    <x:sheet xmlns:r="http://schemas.openxmlformats.org/officeDocument/2006/relationships" name="DoDont" sheetId="3" r:id="R168619228c5241cf"/>
    <x:sheet xmlns:r="http://schemas.openxmlformats.org/officeDocument/2006/relationships" name="FAQ" sheetId="4" r:id="Ra6d39ecfbbd847fa"/>
    <x:sheet xmlns:r="http://schemas.openxmlformats.org/officeDocument/2006/relationships" name="TeamMembers" sheetId="5" r:id="Rc22f4e1143d24186"/>
    <x:sheet xmlns:r="http://schemas.openxmlformats.org/officeDocument/2006/relationships" name="Leaderboards" sheetId="6" r:id="Rd7db3b045311444b"/>
    <x:sheet xmlns:r="http://schemas.openxmlformats.org/officeDocument/2006/relationships" name="WinnersArchive" sheetId="7" r:id="Re4f28dcdc4d24571"/>
    <x:sheet xmlns:r="http://schemas.openxmlformats.org/officeDocument/2006/relationships" name="HomeRounds" sheetId="8" r:id="R1f5e0de956454c27"/>
    <x:sheet xmlns:r="http://schemas.openxmlformats.org/officeDocument/2006/relationships" name="FormQuestions" sheetId="9" r:id="R28070fb8d1c64ae8"/>
    <x:sheet xmlns:r="http://schemas.openxmlformats.org/officeDocument/2006/relationships" name="ReadMe" sheetId="10" r:id="R69877bb7041f4742"/>
  </x:sheets>
</x:workbook>
</file>

<file path=xl/sharedStrings.xml><?xml version="1.0" encoding="utf-8"?>
<x:sst xmlns:x="http://schemas.openxmlformats.org/spreadsheetml/2006/main">
  <x:si>
    <x:t xml:space="preserve">Role</x:t>
  </x:si>
  <x:si>
    <x:t xml:space="preserve">Name</x:t>
  </x:si>
  <x:si>
    <x:t xml:space="preserve">EmployeeID</x:t>
  </x:si>
  <x:si>
    <x:t xml:space="preserve">PhotoUrl</x:t>
  </x:si>
  <x:si>
    <x:t xml:space="preserve">Leader</x:t>
  </x:si>
  <x:si>
    <x:t xml:space="preserve">Abeer AlMuqdesi</x:t>
  </x:si>
  <x:si>
    <x:t xml:space="preserve">1196</x:t>
  </x:si>
  <x:si>
    <x:t xml:space="preserve">https://banki/Nazaha/Team%20Members%20Photos/Abeer.jpg</x:t>
  </x:si>
  <x:si>
    <x:t xml:space="preserve">Member</x:t>
  </x:si>
  <x:si>
    <x:t xml:space="preserve">Adil Rashid Saif Al-Maamri</x:t>
  </x:si>
  <x:si>
    <x:t xml:space="preserve">https://banki/Nazaha/Team%20Members%20Photos/Adil.jpg</x:t>
  </x:si>
  <x:si>
    <x:t xml:space="preserve">Afra Moosa</x:t>
  </x:si>
  <x:si>
    <x:t xml:space="preserve">2479</x:t>
  </x:si>
  <x:si>
    <x:t xml:space="preserve">https://banki/Nazaha/Team%20Members%20Photos/Afra.jpg</x:t>
  </x:si>
  <x:si>
    <x:t xml:space="preserve">Hadeel AlRiyami</x:t>
  </x:si>
  <x:si>
    <x:t xml:space="preserve">1407</x:t>
  </x:si>
  <x:si>
    <x:t xml:space="preserve">https://banki/Nazaha/Team%20Members%20Photos/Hadeel.jpg</x:t>
  </x:si>
  <x:si>
    <x:t xml:space="preserve">Ibrahim Ali Moosa Albaloshi</x:t>
  </x:si>
  <x:si>
    <x:t xml:space="preserve">1011</x:t>
  </x:si>
  <x:si>
    <x:t xml:space="preserve">https://banki/Nazaha/Team%20Members%20Photos/Ibrahim.jpg</x:t>
  </x:si>
  <x:si>
    <x:t xml:space="preserve">Rayyan Salim Khalfan Al Shaqsi</x:t>
  </x:si>
  <x:si>
    <x:t xml:space="preserve">2939</x:t>
  </x:si>
  <x:si>
    <x:t xml:space="preserve">https://banki/Nazaha/Team%20Members%20Photos/Rayyan.jpg</x:t>
  </x:si>
  <x:si>
    <x:t xml:space="preserve">Nahiyan Al Balushi</x:t>
  </x:si>
  <x:si>
    <x:t xml:space="preserve">3002</x:t>
  </x:si>
  <x:si>
    <x:t xml:space="preserve">https://banki/Nazaha/Team%20Members%20Photos/Nahyan.jpg</x:t>
  </x:si>
</x:sst>
</file>

<file path=xl/styles.xml><?xml version="1.0" encoding="utf-8"?>
<x:styleSheet xmlns:x="http://schemas.openxmlformats.org/spreadsheetml/2006/main">
  <x:numFmts count="2">
    <x:numFmt numFmtId="200" formatCode="0"/>
    <x:numFmt numFmtId="201" formatCode="@"/>
  </x:numFmts>
  <x:fonts count="10">
    <x:font>
      <x:sz val="11"/>
      <x:color theme="1"/>
      <x:name val="Calibri"/>
    </x:font>
    <x:font>
      <x:b/>
      <x:sz val="11"/>
      <x:color rgb="FFFFFFFF"/>
      <x:name val="Calibri"/>
    </x:font>
    <x:font>
      <x:b/>
      <x:sz val="11"/>
      <x:color rgb="FFFFFFFF"/>
      <x:name val="Calibri"/>
    </x:font>
    <x:font>
      <x:sz val="11"/>
      <x:color theme="10"/>
      <x:name val="Calibri"/>
    </x:font>
    <x:font>
      <x:sz val="10"/>
      <x:color rgb="FF111827"/>
      <x:name val="Calibri"/>
    </x:font>
    <x:font>
      <x:b/>
      <x:sz val="11"/>
      <x:color theme="0"/>
      <x:name val="Calibri"/>
    </x:font>
    <x:font>
      <x:sz val="11"/>
      <x:color rgb="FF111827"/>
      <x:name val="Calibri"/>
    </x:font>
    <x:font>
      <x:sz val="11"/>
      <x:color rgb="FF475569"/>
      <x:name val="Calibri"/>
    </x:font>
    <x:font>
      <x:sz val="11"/>
      <x:color rgb="FF17212F"/>
      <x:name val="Calibri"/>
    </x:font>
    <x:font>
      <x:b/>
      <x:sz val="11"/>
      <x:color rgb="FF17212F"/>
      <x:name val="Calibri"/>
    </x:font>
  </x:fonts>
  <x:fills count="14">
    <x:fill>
      <x:patternFill patternType="none"/>
    </x:fill>
    <x:fill>
      <x:patternFill patternType="gray125"/>
    </x:fill>
    <x:fill>
      <x:patternFill patternType="solid">
        <x:fgColor rgb="FF0B2F4A"/>
      </x:patternFill>
    </x:fill>
    <x:fill>
      <x:patternFill patternType="solid">
        <x:fgColor rgb="FF0B5A8A"/>
      </x:patternFill>
    </x:fill>
    <x:fill>
      <x:patternFill patternType="solid">
        <x:fgColor theme="4"/>
      </x:patternFill>
    </x:fill>
    <x:fill>
      <x:patternFill patternType="solid">
        <x:fgColor theme="5" tint="0.87997"/>
      </x:patternFill>
    </x:fill>
    <x:fill>
      <x:patternFill patternType="solid">
        <x:fgColor theme="5" tint="0.81997"/>
      </x:patternFill>
    </x:fill>
    <x:fill>
      <x:patternFill patternType="solid">
        <x:fgColor rgb="FF0B5A8A"/>
      </x:patternFill>
    </x:fill>
    <x:fill>
      <x:patternFill patternType="solid">
        <x:fgColor rgb="FF0B2F4A"/>
      </x:patternFill>
    </x:fill>
    <x:fill>
      <x:patternFill patternType="solid">
        <x:fgColor rgb="FFFFF6DE"/>
      </x:patternFill>
    </x:fill>
    <x:fill>
      <x:patternFill patternType="solid">
        <x:fgColor rgb="FFFFFFFF"/>
      </x:patternFill>
    </x:fill>
    <x:fill>
      <x:patternFill patternType="solid">
        <x:fgColor rgb="FF0B5A8A"/>
      </x:patternFill>
    </x:fill>
    <x:fill>
      <x:patternFill patternType="solid">
        <x:fgColor rgb="FFEEF6FF"/>
      </x:patternFill>
    </x:fill>
    <x:fill>
      <x:patternFill patternType="solid">
        <x:fgColor rgb="FFFFF6DE"/>
      </x:patternFill>
    </x:fill>
  </x:fills>
  <x:borders count="18">
    <x:border/>
    <x:border>
      <x:right style="thin">
        <x:color rgb="FFE5E7EB"/>
      </x:right>
      <x:bottom style="thin">
        <x:color rgb="FFE5E7EB"/>
      </x:bottom>
    </x:border>
    <x:border>
      <x:left style="thin">
        <x:color rgb="FFE5E7EB"/>
      </x:left>
      <x:right style="thin">
        <x:color rgb="FFE5E7EB"/>
      </x:right>
      <x:bottom style="thin">
        <x:color rgb="FFE5E7EB"/>
      </x:bottom>
    </x:border>
    <x:border>
      <x:left style="thin">
        <x:color rgb="FFE5E7EB"/>
      </x:left>
      <x:bottom style="thin">
        <x:color rgb="FFE5E7EB"/>
      </x:bottom>
    </x:border>
    <x:border>
      <x:right style="thin">
        <x:color rgb="FFE5E7EB"/>
      </x:right>
      <x:top style="thin">
        <x:color rgb="FFE5E7EB"/>
      </x:top>
    </x:border>
    <x:border>
      <x:left style="thin">
        <x:color rgb="FFE5E7EB"/>
      </x:left>
      <x:right style="thin">
        <x:color rgb="FFE5E7EB"/>
      </x:right>
      <x:top style="thin">
        <x:color rgb="FFE5E7EB"/>
      </x:top>
    </x:border>
    <x:border>
      <x:left style="thin">
        <x:color rgb="FFE5E7EB"/>
      </x:left>
      <x:top style="thin">
        <x:color rgb="FFE5E7EB"/>
      </x:top>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right style="thin">
        <x:color rgb="FFE5E7EB"/>
      </x:right>
      <x:bottom style="thin">
        <x:color rgb="FFE5E7EB"/>
      </x:bottom>
    </x:border>
    <x:border>
      <x:left style="thin">
        <x:color rgb="FFE5E7EB"/>
      </x:left>
      <x:right style="thin">
        <x:color rgb="FFCBD5E1"/>
      </x:right>
      <x:bottom style="thin">
        <x:color rgb="FFE5E7EB"/>
      </x:bottom>
    </x:border>
    <x:border>
      <x:left style="thin">
        <x:color rgb="FFCBD5E1"/>
      </x:left>
      <x:right style="thin">
        <x:color rgb="FFE5E7EB"/>
      </x:right>
      <x:top style="thin">
        <x:color rgb="FFE5E7EB"/>
      </x:top>
      <x:bottom style="thin">
        <x:color rgb="FFE5E7EB"/>
      </x:bottom>
    </x:border>
    <x:border>
      <x:left style="thin">
        <x:color rgb="FFE5E7EB"/>
      </x:left>
      <x:right style="thin">
        <x:color rgb="FFE5E7EB"/>
      </x:right>
      <x:top style="thin">
        <x:color rgb="FFE5E7EB"/>
      </x:top>
      <x:bottom style="thin">
        <x:color rgb="FFE5E7EB"/>
      </x:bottom>
    </x:border>
    <x:border>
      <x:left style="thin">
        <x:color rgb="FFE5E7EB"/>
      </x:left>
      <x:right style="thin">
        <x:color rgb="FFCBD5E1"/>
      </x:right>
      <x:top style="thin">
        <x:color rgb="FFE5E7EB"/>
      </x:top>
      <x:bottom style="thin">
        <x:color rgb="FFE5E7EB"/>
      </x:bottom>
    </x:border>
    <x:border>
      <x:left style="thin">
        <x:color rgb="FFCBD5E1"/>
      </x:left>
      <x:right style="thin">
        <x:color rgb="FFE5E7EB"/>
      </x:right>
      <x:top style="thin">
        <x:color rgb="FFE5E7EB"/>
      </x:top>
      <x:bottom style="thin">
        <x:color rgb="FFCBD5E1"/>
      </x:bottom>
    </x:border>
    <x:border>
      <x:left style="thin">
        <x:color rgb="FFE5E7EB"/>
      </x:left>
      <x:right style="thin">
        <x:color rgb="FFE5E7EB"/>
      </x:right>
      <x:top style="thin">
        <x:color rgb="FFE5E7EB"/>
      </x:top>
      <x:bottom style="thin">
        <x:color rgb="FFCBD5E1"/>
      </x:bottom>
    </x:border>
    <x:border>
      <x:left style="thin">
        <x:color rgb="FFE5E7EB"/>
      </x:left>
      <x:right style="thin">
        <x:color rgb="FFCBD5E1"/>
      </x:right>
      <x:top style="thin">
        <x:color rgb="FFE5E7EB"/>
      </x:top>
      <x:bottom style="thin">
        <x:color rgb="FFCBD5E1"/>
      </x:bottom>
    </x:border>
  </x:borders>
  <x:cellStyleXfs count="2">
    <x:xf numFmtId="0" fontId="0" fillId="0" borderId="0"/>
    <x:xf numFmtId="0" fontId="3" fillId="0" borderId="0"/>
  </x:cellStyleXfs>
  <x:cellXfs count="111">
    <x:xf numFmtId="0" fontId="0" fillId="0" borderId="0" xfId="0"/>
    <x:xf numFmtId="0" fontId="1" fillId="2" borderId="0" xfId="0" applyFont="1" applyFill="1" applyAlignment="1">
      <x:alignment horizontal="center" vertical="center"/>
    </x:xf>
    <x:xf numFmtId="0" fontId="2" fillId="3" borderId="0" xfId="0" applyFont="1" applyFill="1" applyAlignment="1">
      <x:alignment horizontal="center" vertical="center" wrapText="1"/>
    </x:xf>
    <x:xf numFmtId="0" fontId="0" fillId="0" borderId="0" xfId="0" applyAlignment="1">
      <x:alignment vertical="top" wrapText="1"/>
    </x:xf>
    <x:xf numFmtId="0" fontId="3" fillId="0" borderId="0" xfId="1"/>
    <x:xf numFmtId="0" fontId="0" fillId="0" borderId="0" xfId="0" applyAlignment="1">
      <x:alignment horizontal="center" vertical="center"/>
    </x:xf>
    <x:xf numFmtId="0" fontId="1" fillId="2" borderId="0" xfId="0" applyFont="1" applyFill="1" applyAlignment="1">
      <x:alignment vertical="top" wrapText="1"/>
    </x:xf>
    <x:xf numFmtId="0" fontId="2" fillId="3" borderId="0" xfId="0" applyFont="1" applyFill="1" applyAlignment="1">
      <x:alignment vertical="top" wrapText="1"/>
    </x:xf>
    <x:xf numFmtId="0" fontId="4" fillId="5" borderId="1" xfId="0" applyFont="1" applyFill="1" applyBorder="1" applyAlignment="1">
      <x:alignment wrapText="1"/>
    </x:xf>
    <x:xf numFmtId="0" fontId="4" fillId="5" borderId="2" xfId="0" applyFont="1" applyFill="1" applyBorder="1" applyAlignment="1">
      <x:alignment wrapText="1"/>
    </x:xf>
    <x:xf numFmtId="0" fontId="4" fillId="5" borderId="3" xfId="0" applyFont="1" applyFill="1" applyBorder="1" applyAlignment="1">
      <x:alignment wrapText="1"/>
    </x:xf>
    <x:xf numFmtId="0" fontId="4" fillId="5" borderId="4" xfId="0" applyFont="1" applyFill="1" applyBorder="1" applyAlignment="1">
      <x:alignment wrapText="1"/>
    </x:xf>
    <x:xf numFmtId="0" fontId="4" fillId="5" borderId="5" xfId="0" applyFont="1" applyFill="1" applyBorder="1" applyAlignment="1">
      <x:alignment wrapText="1"/>
    </x:xf>
    <x:xf numFmtId="0" fontId="4" fillId="5" borderId="6" xfId="0" applyFont="1" applyFill="1" applyBorder="1" applyAlignment="1">
      <x:alignment wrapText="1"/>
    </x:xf>
    <x:xf numFmtId="0" fontId="5" fillId="4" borderId="7" xfId="0" applyFont="1" applyFill="1" applyBorder="1" applyAlignment="1">
      <x:alignment horizontal="center" vertical="center"/>
    </x:xf>
    <x:xf numFmtId="0" fontId="5" fillId="4" borderId="8" xfId="0" applyFont="1" applyFill="1" applyBorder="1" applyAlignment="1">
      <x:alignment horizontal="center" vertical="center"/>
    </x:xf>
    <x:xf numFmtId="0" fontId="5" fillId="4" borderId="9" xfId="0" applyFont="1" applyFill="1" applyBorder="1" applyAlignment="1">
      <x:alignment horizontal="center" vertical="center"/>
    </x:xf>
    <x:xf numFmtId="0" fontId="4" fillId="6" borderId="10" xfId="0" applyFont="1" applyFill="1" applyBorder="1" applyAlignment="1">
      <x:alignment vertical="center"/>
    </x:xf>
    <x:xf numFmtId="0" fontId="4" fillId="0" borderId="2" xfId="0" applyFont="1" applyBorder="1" applyAlignment="1">
      <x:alignment horizontal="center" vertical="center"/>
    </x:xf>
    <x:xf numFmtId="0" fontId="4" fillId="0" borderId="2" xfId="0" applyFont="1" applyBorder="1" applyAlignment="1">
      <x:alignment vertical="center"/>
    </x:xf>
    <x:xf numFmtId="0" fontId="4" fillId="0" borderId="11" xfId="0" applyFont="1" applyBorder="1" applyAlignment="1">
      <x:alignment horizontal="center" vertical="center"/>
    </x:xf>
    <x:xf numFmtId="0" fontId="4" fillId="6" borderId="12" xfId="0" applyFont="1" applyFill="1" applyBorder="1" applyAlignment="1">
      <x:alignment vertical="center"/>
    </x:xf>
    <x:xf numFmtId="0" fontId="4" fillId="0" borderId="13" xfId="0" applyFont="1" applyBorder="1" applyAlignment="1">
      <x:alignment horizontal="center" vertical="center"/>
    </x:xf>
    <x:xf numFmtId="0" fontId="4" fillId="0" borderId="13" xfId="0" applyFont="1" applyBorder="1" applyAlignment="1">
      <x:alignment vertical="center"/>
    </x:xf>
    <x:xf numFmtId="0" fontId="4" fillId="0" borderId="14" xfId="0" applyFont="1" applyBorder="1" applyAlignment="1">
      <x:alignment horizontal="center" vertical="center"/>
    </x:xf>
    <x:xf numFmtId="0" fontId="4" fillId="6" borderId="15" xfId="0" applyFont="1" applyFill="1" applyBorder="1" applyAlignment="1">
      <x:alignment vertical="center"/>
    </x:xf>
    <x:xf numFmtId="0" fontId="4" fillId="0" borderId="16" xfId="0" applyFont="1" applyBorder="1" applyAlignment="1">
      <x:alignment horizontal="center" vertical="center"/>
    </x:xf>
    <x:xf numFmtId="0" fontId="4" fillId="0" borderId="16" xfId="0" applyFont="1" applyBorder="1" applyAlignment="1">
      <x:alignment vertical="center"/>
    </x:xf>
    <x:xf numFmtId="0" fontId="4" fillId="0" borderId="17" xfId="0" applyFont="1" applyBorder="1" applyAlignment="1">
      <x:alignment horizontal="center" vertical="center"/>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0" fillId="0" borderId="0" xfId="0" applyAlignment="1">
      <x:alignment vertical="top" wrapText="1"/>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7"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7" borderId="0" xfId="0" applyNumberFormat="1" applyFont="1" applyFill="1" applyBorder="1" applyAlignment="1">
      <x:alignment vertical="center" wrapText="1"/>
    </x:xf>
    <x:xf numFmtId="0" fontId="7" fillId="0"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5" fillId="4" borderId="7" xfId="0" applyNumberFormat="1" applyFont="1" applyFill="1" applyBorder="1" applyAlignment="1">
      <x:alignment horizontal="center" vertical="center" wrapText="1"/>
    </x:xf>
    <x:xf numFmtId="0" fontId="5" fillId="4" borderId="8" xfId="0" applyNumberFormat="1" applyFont="1" applyFill="1" applyBorder="1" applyAlignment="1">
      <x:alignment horizontal="center" vertical="center" wrapText="1"/>
    </x:xf>
    <x:xf numFmtId="0" fontId="5" fillId="4" borderId="9" xfId="0" applyNumberFormat="1" applyFont="1" applyFill="1" applyBorder="1" applyAlignment="1">
      <x:alignment horizontal="center" vertical="center" wrapText="1"/>
    </x:xf>
    <x:xf numFmtId="0" fontId="5" fillId="4" borderId="7" xfId="0" applyNumberFormat="1" applyFont="1" applyFill="1" applyBorder="1" applyAlignment="1">
      <x:alignment horizontal="center" vertical="top" wrapText="1"/>
    </x:xf>
    <x:xf numFmtId="0" fontId="5" fillId="4" borderId="8" xfId="0" applyNumberFormat="1" applyFont="1" applyFill="1" applyBorder="1" applyAlignment="1">
      <x:alignment horizontal="center" vertical="top" wrapText="1"/>
    </x:xf>
    <x:xf numFmtId="0" fontId="5" fillId="4" borderId="9"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x:extLst>
        <x:ext uri="{C7286773-470A-42A8-94C5-96B5CB345126}">
          <xfpb:xfComplement xmlns:xfpb="http://schemas.microsoft.com/office/spreadsheetml/2022/featurepropertybag" i="0"/>
        </x:ext>
      </x:extLst>
    </x:xf>
    <x:xf numFmtId="0" fontId="6" fillId="0" borderId="0" xfId="0" applyNumberFormat="1" applyFont="1" applyFill="1" applyBorder="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8"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8" borderId="0" xfId="0" applyNumberFormat="1" applyFont="1" applyFill="1" applyBorder="1" applyAlignment="1">
      <x:alignment horizontal="left" vertical="top" wrapText="1"/>
    </x:xf>
    <x:xf numFmtId="0" fontId="1" fillId="8" borderId="0" xfId="0" applyNumberFormat="1" applyFont="1" applyFill="1" applyBorder="1" applyAlignment="1">
      <x:alignment horizontal="left" vertical="center" wrapText="1"/>
    </x:xf>
    <x:xf numFmtId="201" fontId="6" fillId="0" borderId="0" xfId="0" applyNumberFormat="1" applyFont="1" applyFill="1" applyBorder="1" applyAlignment="1">
      <x:alignment vertical="top" wrapText="1"/>
    </x:xf>
    <x:xf numFmtId="201" fontId="6" fillId="9" borderId="0" xfId="0" applyNumberFormat="1" applyFont="1" applyFill="1" applyBorder="1" applyAlignment="1">
      <x:alignment vertical="top" wrapText="1"/>
    </x:xf>
    <x:xf numFmtId="200" fontId="6" fillId="0" borderId="0" xfId="0" applyNumberFormat="1" applyFont="1" applyFill="1" applyBorder="1" applyAlignment="1">
      <x:alignment vertical="top" wrapText="1"/>
    </x:xf>
    <x:xf numFmtId="0" fontId="6" fillId="9"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200" fontId="0" fillId="0" borderId="0" xfId="0" applyNumberFormat="1" applyFont="1" applyFill="1" applyBorder="1"/>
    <x:xf numFmtId="200" fontId="0" fillId="0" borderId="0" xfId="0" applyNumberFormat="1" applyFont="1" applyFill="1" applyBorder="1" applyAlignment="1">
      <x:alignment wrapText="1"/>
    </x:xf>
    <x:xf numFmtId="201" fontId="0" fillId="0" borderId="0" xfId="0" applyNumberFormat="1" applyFont="1" applyFill="1" applyBorder="1" applyAlignment="1">
      <x:alignment vertical="top" wrapText="1"/>
    </x:xf>
    <x:xf numFmtId="0" fontId="0" fillId="10" borderId="0" xfId="0" applyNumberFormat="1" applyFont="1" applyFill="1" applyBorder="1"/>
    <x:xf numFmtId="0" fontId="8" fillId="10" borderId="0" xfId="0" applyNumberFormat="1" applyFont="1" applyFill="1" applyBorder="1"/>
    <x:xf numFmtId="0" fontId="8" fillId="10" borderId="0" xfId="0" applyNumberFormat="1" applyFont="1" applyFill="1" applyBorder="1" applyAlignment="1">
      <x:alignment wrapText="1"/>
    </x:xf>
    <x:xf numFmtId="0" fontId="8" fillId="10" borderId="0"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1" borderId="0" xfId="0" applyNumberFormat="1" applyFont="1" applyFill="1" applyBorder="1" applyAlignment="1">
      <x:alignment horizontal="left" vertical="top" wrapText="1"/>
    </x:xf>
    <x:xf numFmtId="0" fontId="1" fillId="11" borderId="0" xfId="0" applyNumberFormat="1" applyFont="1" applyFill="1" applyBorder="1" applyAlignment="1">
      <x:alignment horizontal="left" vertical="center" wrapText="1"/>
    </x:xf>
    <x:xf numFmtId="0" fontId="7" fillId="10" borderId="0" xfId="0" applyNumberFormat="1" applyFont="1" applyFill="1" applyBorder="1" applyAlignment="1">
      <x:alignment vertical="top" wrapText="1"/>
    </x:xf>
    <x:xf numFmtId="0" fontId="0" fillId="10" borderId="0" xfId="0" applyNumberFormat="1" applyFont="1" applyFill="1" applyBorder="1">
      <x:extLst>
        <x:ext uri="{C7286773-470A-42A8-94C5-96B5CB345126}">
          <xfpb:xfComplement xmlns:xfpb="http://schemas.microsoft.com/office/spreadsheetml/2022/featurepropertybag" i="0"/>
        </x:ext>
      </x:extLst>
    </x:xf>
    <x:xf numFmtId="0" fontId="8" fillId="10" borderId="0" xfId="0" applyNumberFormat="1" applyFont="1" applyFill="1" applyBorder="1">
      <x:extLst>
        <x:ext uri="{C7286773-470A-42A8-94C5-96B5CB345126}">
          <xfpb:xfComplement xmlns:xfpb="http://schemas.microsoft.com/office/spreadsheetml/2022/featurepropertybag" i="0"/>
        </x:ext>
      </x:extLst>
    </x:xf>
    <x:xf numFmtId="0" fontId="8" fillId="1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8" fillId="1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8" fillId="10" borderId="0" xfId="0" applyNumberFormat="1" applyFont="1" applyFill="1" applyBorder="1" applyAlignment="1">
      <x:alignment vertical="top" wrapText="1"/>
    </x:xf>
    <x:xf numFmtId="200" fontId="8" fillId="10" borderId="0" xfId="0" applyNumberFormat="1" applyFont="1" applyFill="1" applyBorder="1" applyAlignment="1">
      <x:alignment horizontal="right" vertical="top" wrapText="1"/>
    </x:xf>
    <x:xf numFmtId="201" fontId="8" fillId="10" borderId="0" xfId="0" applyNumberFormat="1" applyFont="1" applyFill="1" applyBorder="1" applyAlignment="1">
      <x:alignment vertical="top" wrapText="1"/>
    </x:xf>
    <x:xf numFmtId="200" fontId="8" fillId="12" borderId="0" xfId="0" applyNumberFormat="1" applyFont="1" applyFill="1" applyBorder="1" applyAlignment="1">
      <x:alignment horizontal="right" vertical="top" wrapText="1"/>
    </x:xf>
    <x:xf numFmtId="0" fontId="8" fillId="12" borderId="0" xfId="0" applyNumberFormat="1" applyFont="1" applyFill="1" applyBorder="1" applyAlignment="1">
      <x:alignment vertical="top" wrapText="1"/>
    </x:xf>
    <x:xf numFmtId="201" fontId="8" fillId="12" borderId="0" xfId="0" applyNumberFormat="1" applyFont="1" applyFill="1" applyBorder="1" applyAlignment="1">
      <x:alignment vertical="top" wrapText="1"/>
    </x:xf>
    <x:xf numFmtId="0" fontId="8" fillId="12"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8" fillId="13" borderId="0" xfId="0" applyNumberFormat="1" applyFont="1" applyFill="1" applyBorder="1" applyAlignment="1">
      <x:alignment vertical="top" wrapText="1"/>
    </x:xf>
    <x:xf numFmtId="200" fontId="8" fillId="13" borderId="0" xfId="0" applyNumberFormat="1" applyFont="1" applyFill="1" applyBorder="1" applyAlignment="1">
      <x:alignment horizontal="right" vertical="top" wrapText="1"/>
    </x:xf>
    <x:xf numFmtId="201" fontId="8" fillId="13" borderId="0" xfId="0" applyNumberFormat="1" applyFont="1" applyFill="1" applyBorder="1" applyAlignment="1">
      <x:alignment vertical="top" wrapText="1"/>
    </x:xf>
    <x:xf numFmtId="0" fontId="8" fillId="13"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13" borderId="0"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201" fontId="8" fillId="9" borderId="0" xfId="0" applyNumberFormat="1" applyFont="1" applyFill="1" applyBorder="1" applyAlignment="1">
      <x:alignment vertical="top" wrapText="1"/>
    </x:xf>
  </x:cellXfs>
  <x:cellStyles count="2">
    <x:cellStyle name="Hyperlink" xfId="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4722e4806974456" /><Relationship Type="http://schemas.openxmlformats.org/officeDocument/2006/relationships/theme" Target="/xl/theme/theme1.xml" Id="R772142af7b4e41f8" /><Relationship Type="http://schemas.microsoft.com/office/2022/11/relationships/FeaturePropertyBag" Target="/xl/featurePropertyBag/featurePropertyBag.xml" Id="R0ff769d34c4a43cb" /><Relationship Type="http://schemas.openxmlformats.org/officeDocument/2006/relationships/sharedStrings" Target="/xl/sharedStrings.xml" Id="R5abc72df2ad74e02" /><Relationship Type="http://schemas.openxmlformats.org/officeDocument/2006/relationships/worksheet" Target="/xl/worksheets/sheet1.xml" Id="R7d81bcf191c149ad" /><Relationship Type="http://schemas.openxmlformats.org/officeDocument/2006/relationships/worksheet" Target="/xl/worksheets/sheet2.xml" Id="Rf9232fedabf041c5" /><Relationship Type="http://schemas.openxmlformats.org/officeDocument/2006/relationships/worksheet" Target="/xl/worksheets/sheet3.xml" Id="R168619228c5241cf" /><Relationship Type="http://schemas.openxmlformats.org/officeDocument/2006/relationships/worksheet" Target="/xl/worksheets/sheet4.xml" Id="Ra6d39ecfbbd847fa" /><Relationship Type="http://schemas.openxmlformats.org/officeDocument/2006/relationships/worksheet" Target="/xl/worksheets/sheet5.xml" Id="Rc22f4e1143d24186" /><Relationship Type="http://schemas.openxmlformats.org/officeDocument/2006/relationships/worksheet" Target="/xl/worksheets/sheet6.xml" Id="Rd7db3b045311444b" /><Relationship Type="http://schemas.openxmlformats.org/officeDocument/2006/relationships/worksheet" Target="/xl/worksheets/sheet7.xml" Id="Re4f28dcdc4d24571" /><Relationship Type="http://schemas.openxmlformats.org/officeDocument/2006/relationships/worksheet" Target="/xl/worksheets/sheet8.xml" Id="R1f5e0de956454c27" /><Relationship Type="http://schemas.openxmlformats.org/officeDocument/2006/relationships/worksheet" Target="/xl/worksheets/sheet9.xml" Id="R28070fb8d1c64ae8" /><Relationship Type="http://schemas.openxmlformats.org/officeDocument/2006/relationships/worksheet" Target="/xl/worksheets/sheet10.xml" Id="R69877bb7041f474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4" name="NzSettings" displayName="NzSettings" ref="A1:C44" headerRowCount="1" totalsRowCount="0" totalsRowShown="0">
  <x:autoFilter ref="A1:C44"/>
  <x:tableColumns count="3">
    <x:tableColumn id="1" name="Key"/>
    <x:tableColumn id="2" name="Value"/>
    <x:tableColumn id="3" name="Notes"/>
  </x:tableColumns>
  <x:tableStyleInfo name="TableStyleMedium2" showFirstColumn="0" showLastColumn="0" showRowStripes="1" showColumnStripes="0"/>
</x:table>
</file>

<file path=xl/tables/table2.xml><?xml version="1.0" encoding="utf-8"?>
<x:table xmlns:x="http://schemas.openxmlformats.org/spreadsheetml/2006/main" id="5" name="NzTopWinners" displayName="NzTopWinners" ref="A1:E4" headerRowCount="1" totalsRowCount="0" totalsRowShown="0">
  <x:autoFilter ref="A1:E4"/>
  <x:tableColumns count="5">
    <x:tableColumn id="1" name="Rank"/>
    <x:tableColumn id="2" name="Name"/>
    <x:tableColumn id="3" name="EmpId"/>
    <x:tableColumn id="4" name="Points"/>
    <x:tableColumn id="5" name="Enabled"/>
  </x:tableColumns>
  <x:tableStyleInfo name="TableStyleMedium2" showFirstColumn="0" showLastColumn="0" showRowStripes="1" showColumnStripes="0"/>
</x:table>
</file>

<file path=xl/tables/table3.xml><?xml version="1.0" encoding="utf-8"?>
<x:table xmlns:x="http://schemas.openxmlformats.org/spreadsheetml/2006/main" id="6" name="NzDoDont" displayName="NzDoDont" ref="A1:F37" headerRowCount="1" totalsRowCount="0" totalsRowShown="0">
  <x:autoFilter ref="A1:F37"/>
  <x:tableColumns count="6">
    <x:tableColumn id="1" name="Type"/>
    <x:tableColumn id="2" name="Title_EN"/>
    <x:tableColumn id="3" name="Text_EN"/>
    <x:tableColumn id="4" name="Enabled"/>
    <x:tableColumn id="5" name="Sort"/>
    <x:tableColumn id="6" name="SourceSection"/>
  </x:tableColumns>
  <x:tableStyleInfo name="TableStyleMedium2" showFirstColumn="0" showLastColumn="0" showRowStripes="1" showColumnStripes="0"/>
</x:table>
</file>

<file path=xl/tables/table4.xml><?xml version="1.0" encoding="utf-8"?>
<x:table xmlns:x="http://schemas.openxmlformats.org/spreadsheetml/2006/main" id="7" name="NzFAQ" displayName="NzFAQ" ref="A1:F101" headerRowCount="1" totalsRowCount="0" totalsRowShown="0">
  <x:autoFilter ref="A1:F101"/>
  <x:tableColumns count="6">
    <x:tableColumn id="1" name="Category"/>
    <x:tableColumn id="2" name="Question_EN"/>
    <x:tableColumn id="3" name="Answer_EN"/>
    <x:tableColumn id="4" name="Enabled"/>
    <x:tableColumn id="5" name="Sort"/>
    <x:tableColumn id="6" name="SourceSection"/>
  </x:tableColumns>
  <x:tableStyleInfo name="TableStyleMedium2" showFirstColumn="0" showLastColumn="0" showRowStripes="1" showColumnStripes="0"/>
</x:table>
</file>

<file path=xl/tables/table5.xml><?xml version="1.0" encoding="utf-8"?>
<x:table xmlns:x="http://schemas.openxmlformats.org/spreadsheetml/2006/main" id="8" name="NzLeaderboards" displayName="NzLeaderboards" ref="A1:E21" headerRowCount="1" totalsRowCount="0" totalsRowShown="0">
  <x:autoFilter ref="A1:E21"/>
  <x:tableColumns count="5">
    <x:tableColumn id="1" name="BoardType"/>
    <x:tableColumn id="2" name="Rank"/>
    <x:tableColumn id="3" name="Name"/>
    <x:tableColumn id="4" name="EmployeeID"/>
    <x:tableColumn id="5" name="Points"/>
  </x:tableColumns>
  <x:tableStyleInfo name="TableStyleMedium2" showFirstColumn="0" showLastColumn="0" showRowStripes="1" showColumnStripes="0"/>
</x:table>
</file>

<file path=xl/tables/table6.xml><?xml version="1.0" encoding="utf-8"?>
<x:table xmlns:x="http://schemas.openxmlformats.org/spreadsheetml/2006/main" id="9" name="NzWinnersArchive" displayName="NzWinnersArchive" ref="A1:E21" headerRowCount="1" totalsRowCount="0" totalsRowShown="0">
  <x:autoFilter ref="A1:E21"/>
  <x:tableColumns count="5">
    <x:tableColumn id="1" name="Month"/>
    <x:tableColumn id="2" name="Rank"/>
    <x:tableColumn id="3" name="Name"/>
    <x:tableColumn id="4" name="EmployeeID"/>
    <x:tableColumn id="5" name="Points"/>
  </x:tableColumns>
  <x:tableStyleInfo name="TableStyleMedium2" showFirstColumn="0" showLastColumn="0" showRowStripes="1" showColumnStripes="0"/>
</x:table>
</file>

<file path=xl/tables/table7.xml><?xml version="1.0" encoding="utf-8"?>
<x:table xmlns:x="http://schemas.openxmlformats.org/spreadsheetml/2006/main" id="10" name="NzHomeRounds" displayName="NzHomeRounds" ref="A1:H13" headerRowCount="1" totalsRowCount="0" totalsRowShown="0">
  <x:autoFilter ref="A1:H13"/>
  <x:tableColumns count="8">
    <x:tableColumn id="1" name="Round"/>
    <x:tableColumn id="2" name="Period"/>
    <x:tableColumn id="3" name="Title"/>
    <x:tableColumn id="4" name="Description"/>
    <x:tableColumn id="5" name="Url"/>
    <x:tableColumn id="6" name="OpenAt"/>
    <x:tableColumn id="7" name="CloseAt"/>
    <x:tableColumn id="8" name="Enabled"/>
  </x:tableColumns>
  <x:tableStyleInfo name="TableStyleMedium2" showFirstColumn="0" showLastColumn="0" showRowStripes="1" showColumnStripes="0"/>
</x:table>
</file>

<file path=xl/tables/table8.xml><?xml version="1.0" encoding="utf-8"?>
<x:table xmlns:x="http://schemas.openxmlformats.org/spreadsheetml/2006/main" id="11" name="NzFormQuestions" displayName="NzFormQuestions" ref="A1:I13" headerRowCount="1" totalsRowCount="0" totalsRowShown="0">
  <x:autoFilter ref="A1:I13"/>
  <x:tableColumns count="9">
    <x:tableColumn id="1" name="Round"/>
    <x:tableColumn id="2" name="QuestionID"/>
    <x:tableColumn id="3" name="Question_EN"/>
    <x:tableColumn id="4" name="Option_A"/>
    <x:tableColumn id="5" name="Option_B"/>
    <x:tableColumn id="6" name="Option_C"/>
    <x:tableColumn id="7" name="SourceSection"/>
    <x:tableColumn id="8" name="Status"/>
    <x:tableColumn id="9" name="Period"/>
  </x:tableColumns>
  <x:tableStyleInfo name="TableStyleMedium2" showFirstColumn="0" showLastColumn="0" showRowStripes="1" showColumnStripes="0"/>
</x:table>
</file>

<file path=xl/tables/table9.xml><?xml version="1.0" encoding="utf-8"?>
<x:table xmlns:x="http://schemas.openxmlformats.org/spreadsheetml/2006/main" id="12" name="NzReadMe" displayName="NzReadMe" ref="A1:B36" headerRowCount="1" totalsRowCount="0" totalsRowShown="0">
  <x:autoFilter ref="A1:B36"/>
  <x:tableColumns count="2">
    <x:tableColumn id="1" name="Topic"/>
    <x:tableColumn id="2" name="Instructions"/>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banki/Nazaha/videos/Nazaha Talk Episode 03.mp4" TargetMode="External" Id="R17d58a4b01ec4138" /><Relationship Type="http://schemas.openxmlformats.org/officeDocument/2006/relationships/hyperlink" Target="https://banki/Nazaha/Icons/announcement.png" TargetMode="External" Id="R56b031969d814443" /><Relationship Type="http://schemas.openxmlformats.org/officeDocument/2006/relationships/hyperlink" Target="https://banki/Nazaha/Icons/video.png" TargetMode="External" Id="Rea81757ae14b4ce2" /><Relationship Type="http://schemas.openxmlformats.org/officeDocument/2006/relationships/hyperlink" Target="https://banki/Nazaha/Icons/podcast.png" TargetMode="External" Id="Rff8e37b37fa74ee3" /><Relationship Type="http://schemas.openxmlformats.org/officeDocument/2006/relationships/hyperlink" Target="https://banki/Nazaha/Icons/code of conduct.png" TargetMode="External" Id="R596c05c978284481" /><Relationship Type="http://schemas.openxmlformats.org/officeDocument/2006/relationships/hyperlink" Target="https://banki/Nazaha/videos/Nazaha Talk Episode 03.mp4" TargetMode="External" Id="Rd002b798b2b94343" /><Relationship Type="http://schemas.openxmlformats.org/officeDocument/2006/relationships/hyperlink" Target="https://banki/Nazaha/podcast photo/j.jpg" TargetMode="External" Id="R7e98daee351f4682" /><Relationship Type="http://schemas.openxmlformats.org/officeDocument/2006/relationships/table" Target="/xl/tables/table1.xml" Id="R477a560e8e2e4b5f" /></Relationships>
</file>

<file path=xl/worksheets/_rels/sheet2.xml.rels>&#65279;<?xml version="1.0" encoding="utf-8"?><Relationships xmlns="http://schemas.openxmlformats.org/package/2006/relationships"><Relationship Type="http://schemas.openxmlformats.org/officeDocument/2006/relationships/table" Target="/xl/tables/table2.xml" Id="R220cf99f2e6448e4" /></Relationships>
</file>

<file path=xl/worksheets/_rels/sheet3.xml.rels>&#65279;<?xml version="1.0" encoding="utf-8"?><Relationships xmlns="http://schemas.openxmlformats.org/package/2006/relationships"><Relationship Type="http://schemas.openxmlformats.org/officeDocument/2006/relationships/table" Target="/xl/tables/table3.xml" Id="R9a3de659d2094095" /></Relationships>
</file>

<file path=xl/worksheets/_rels/sheet4.xml.rels>&#65279;<?xml version="1.0" encoding="utf-8"?><Relationships xmlns="http://schemas.openxmlformats.org/package/2006/relationships"><Relationship Type="http://schemas.openxmlformats.org/officeDocument/2006/relationships/table" Target="/xl/tables/table4.xml" Id="R14a5a8bd53cd4a65" /></Relationships>
</file>

<file path=xl/worksheets/_rels/sheet5.xml.rels>&#65279;<?xml version="1.0" encoding="utf-8"?><Relationships xmlns="http://schemas.openxmlformats.org/package/2006/relationships"><Relationship Type="http://schemas.openxmlformats.org/officeDocument/2006/relationships/hyperlink" Target="../Team%20Members%20Photos/Adil.jpg" TargetMode="External" Id="R0614f05fe4ab44e4" /><Relationship Type="http://schemas.openxmlformats.org/officeDocument/2006/relationships/hyperlink" Target="../Team%20Members%20Photos/Afra.jpg" TargetMode="External" Id="R6468d9ed1a134344" /><Relationship Type="http://schemas.openxmlformats.org/officeDocument/2006/relationships/hyperlink" Target="../Team%20Members%20Photos/Rayyan.jpg" TargetMode="External" Id="R62d0956a069d4458" /><Relationship Type="http://schemas.openxmlformats.org/officeDocument/2006/relationships/hyperlink" Target="../Team%20Members%20Photos/Nahyan.jpg" TargetMode="External" Id="R1352fd3d068f45c8" /></Relationships>
</file>

<file path=xl/worksheets/_rels/sheet6.xml.rels>&#65279;<?xml version="1.0" encoding="utf-8"?><Relationships xmlns="http://schemas.openxmlformats.org/package/2006/relationships"><Relationship Type="http://schemas.openxmlformats.org/officeDocument/2006/relationships/table" Target="/xl/tables/table5.xml" Id="R1e5ed2ed74ec4d0a" /></Relationships>
</file>

<file path=xl/worksheets/_rels/sheet7.xml.rels>&#65279;<?xml version="1.0" encoding="utf-8"?><Relationships xmlns="http://schemas.openxmlformats.org/package/2006/relationships"><Relationship Type="http://schemas.openxmlformats.org/officeDocument/2006/relationships/table" Target="/xl/tables/table6.xml" Id="Rda65fbb51182411a" /></Relationships>
</file>

<file path=xl/worksheets/_rels/sheet8.xml.rels>&#65279;<?xml version="1.0" encoding="utf-8"?><Relationships xmlns="http://schemas.openxmlformats.org/package/2006/relationships"><Relationship Type="http://schemas.openxmlformats.org/officeDocument/2006/relationships/table" Target="/xl/tables/table7.xml" Id="R781dbdc248634dab" /></Relationships>
</file>

<file path=xl/worksheets/_rels/sheet9.xml.rels>&#65279;<?xml version="1.0" encoding="utf-8"?><Relationships xmlns="http://schemas.openxmlformats.org/package/2006/relationships"><Relationship Type="http://schemas.openxmlformats.org/officeDocument/2006/relationships/table" Target="/xl/tables/table8.xml" Id="R26fd62918984467f" /></Relationships>
</file>

<file path=xl/worksheets/_rels/sheet10.xml.rels>&#65279;<?xml version="1.0" encoding="utf-8"?><Relationships xmlns="http://schemas.openxmlformats.org/package/2006/relationships"><Relationship Type="http://schemas.openxmlformats.org/officeDocument/2006/relationships/table" Target="/xl/tables/table9.xml" Id="R8b2df0599e984506"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0" hidden="0" customWidth="1"/>
    <x:col min="2" max="2" width="86" hidden="0" customWidth="1"/>
    <x:col min="3" max="3" width="87" hidden="0" customWidth="1"/>
  </x:cols>
  <x:sheetData>
    <x:row r="1" ht="32" customHeight="1">
      <x:c r="A1" s="91" t="str">
        <x:v>Key</x:v>
      </x:c>
      <x:c r="B1" s="91" t="str">
        <x:v>Value</x:v>
      </x:c>
      <x:c r="C1" s="91" t="str">
        <x:v>Notes</x:v>
      </x:c>
    </x:row>
    <x:row r="2" ht="30" customHeight="1">
      <x:c r="A2" s="87" t="str">
        <x:v>circular_url</x:v>
      </x:c>
      <x:c r="B2" s="99" t="str">
        <x:v>https://banki/Nazaha/Our%20Circular/Forms/Thumbnails.aspx</x:v>
      </x:c>
      <x:c r="C2" s="92" t="str">
        <x:v>Our Circular library URL</x:v>
      </x:c>
    </x:row>
    <x:row r="3" ht="30" customHeight="1">
      <x:c r="A3" s="87" t="str">
        <x:v>videos_url</x:v>
      </x:c>
      <x:c r="B3" s="99" t="str">
        <x:v>https://banki/Nazaha/Video/Forms/Thumbnails.aspx</x:v>
      </x:c>
      <x:c r="C3" s="92" t="str">
        <x:v>Our Videos library URL</x:v>
      </x:c>
    </x:row>
    <x:row r="4" ht="30" customHeight="1">
      <x:c r="A4" s="87" t="str">
        <x:v>podcast_url</x:v>
      </x:c>
      <x:c r="B4" s="99" t="str">
        <x:v>https://banki/Nazaha/Podcast/Forms/Thumbnails.aspx</x:v>
      </x:c>
      <x:c r="C4" s="92" t="str">
        <x:v>Our Podcast library URL</x:v>
      </x:c>
    </x:row>
    <x:row r="5" ht="44" customHeight="1">
      <x:c r="A5" s="87" t="str">
        <x:v>code_of_conduct_en_pdf</x:v>
      </x:c>
      <x:c r="B5" s="99" t="str">
        <x:v>https://banki/Nazaha/Code%20Of%20Conduct/2023%20-%20Code%20of%20Conduct%20English.pdf</x:v>
      </x:c>
      <x:c r="C5" s="92" t="str">
        <x:v>Code of Conduct (English) PDF</x:v>
      </x:c>
    </x:row>
    <x:row r="6" ht="44" customHeight="1">
      <x:c r="A6" s="87" t="str">
        <x:v>code_of_conduct_ar_pdf</x:v>
      </x:c>
      <x:c r="B6" s="99" t="str">
        <x:v>https://banki/Nazaha/Code%20Of%20Conduct/2023%20-%20Code%20of%20Conduct%20Arabic.pdf</x:v>
      </x:c>
      <x:c r="C6" s="92" t="str">
        <x:v>Code of Conduct (Arabic) PDF</x:v>
      </x:c>
    </x:row>
    <x:row r="7" ht="44" customHeight="1">
      <x:c r="A7" s="87" t="str">
        <x:v>winners_month_label</x:v>
      </x:c>
      <x:c r="B7" s="106" t="str">
        <x:v>August 2026</x:v>
      </x:c>
      <x:c r="C7" s="92" t="str">
        <x:v>Sample monthly results period. Must match monthly_leaderboard_label and the monthly Leaderboards records.</x:v>
      </x:c>
    </x:row>
    <x:row r="8" ht="30" customHeight="1">
      <x:c r="A8" s="87" t="str">
        <x:v>suggest_email</x:v>
      </x:c>
      <x:c r="B8" s="99" t="str">
        <x:v>Nazhateam@oman-arabbank.com</x:v>
      </x:c>
      <x:c r="C8" s="92" t="str">
        <x:v>Suggest an Idea email (no mailto)</x:v>
      </x:c>
    </x:row>
    <x:row r="9" ht="30" customHeight="1">
      <x:c r="A9" s="87" t="str">
        <x:v>media_icon_announcements</x:v>
      </x:c>
      <x:c r="B9" s="99" t="str">
        <x:v>https://banki/Nazaha/Icons/announcement.png</x:v>
      </x:c>
      <x:c r="C9" s="92" t="str">
        <x:v>Announcements card icon image URL</x:v>
      </x:c>
    </x:row>
    <x:row r="10" ht="30" customHeight="1">
      <x:c r="A10" s="87" t="str">
        <x:v>media_icon_videos</x:v>
      </x:c>
      <x:c r="B10" s="99" t="str">
        <x:v>https://banki/Nazaha/Icons/video.png</x:v>
      </x:c>
      <x:c r="C10" s="92" t="str">
        <x:v>Videos card icon image URL</x:v>
      </x:c>
    </x:row>
    <x:row r="11" ht="30" customHeight="1">
      <x:c r="A11" s="87" t="str">
        <x:v>media_icon_podcast</x:v>
      </x:c>
      <x:c r="B11" s="99" t="str">
        <x:v>https://banki/Nazaha/Icons/podcast.png</x:v>
      </x:c>
      <x:c r="C11" s="92" t="str">
        <x:v>Podcast card icon image URL</x:v>
      </x:c>
    </x:row>
    <x:row r="12" ht="30" customHeight="1">
      <x:c r="A12" s="87" t="str">
        <x:v>media_icon_code_of_conduct</x:v>
      </x:c>
      <x:c r="B12" s="99" t="str">
        <x:v>https://banki/Nazaha/Icons/code%20of%20conduct.png</x:v>
      </x:c>
      <x:c r="C12" s="92" t="str">
        <x:v>Code of Conduct card icon image URL</x:v>
      </x:c>
    </x:row>
    <x:row r="13" ht="30" customHeight="1">
      <x:c r="A13" s="87" t="str">
        <x:v>featured_episode_number</x:v>
      </x:c>
      <x:c r="B13" s="99" t="str">
        <x:v>EP 03</x:v>
      </x:c>
      <x:c r="C13" s="92" t="str">
        <x:v>Matches the existing linked video filename, Nazaha Talk Episode 03.mp4.</x:v>
      </x:c>
    </x:row>
    <x:row r="14" ht="30" customHeight="1">
      <x:c r="A14" s="87" t="str">
        <x:v>featured_episode_title</x:v>
      </x:c>
      <x:c r="B14" s="99" t="str">
        <x:v>Nazaha Talk - Featured Episode</x:v>
      </x:c>
      <x:c r="C14" s="92" t="str">
        <x:v>Featured podcast title. Existing media file links are retained.</x:v>
      </x:c>
    </x:row>
    <x:row r="15" ht="59" customHeight="1">
      <x:c r="A15" s="87" t="str">
        <x:v>featured_episode_desc</x:v>
      </x:c>
      <x:c r="B15" s="99" t="str">
        <x:v>Watch the latest Nazaha Talk episode and stay connected with key discussions that support awareness, ethics, and responsible workplace behaviour.</x:v>
      </x:c>
      <x:c r="C15" s="92" t="str">
        <x:v>Featured podcast description</x:v>
      </x:c>
    </x:row>
    <x:row r="16" ht="59" customHeight="1">
      <x:c r="A16" s="87" t="str">
        <x:v>featured_presenter_bio</x:v>
      </x:c>
      <x:c r="B16" s="106" t="str">
        <x:v>Sample biography only: Aisha Al Rahbi is an example awareness presenter. Replace this text with the actual episode presenter's approved name, role and biography.</x:v>
      </x:c>
      <x:c r="C16" s="92" t="str">
        <x:v>Fictional example, not a claim about the person in the existing poster. Replace before publication.</x:v>
      </x:c>
    </x:row>
    <x:row r="17" ht="30" customHeight="1">
      <x:c r="A17" s="87" t="str">
        <x:v>featured_episode_url</x:v>
      </x:c>
      <x:c r="B17" s="99" t="str">
        <x:v>https://banki/Nazaha/videos/Nazaha%20Talk%20Episode%2003.mp4</x:v>
      </x:c>
      <x:c r="C17" s="92" t="str">
        <x:v>Public or SharePoint episode link used for Watch Episode button</x:v>
      </x:c>
    </x:row>
    <x:row r="18" ht="44" customHeight="1">
      <x:c r="A18" s="87" t="str">
        <x:v>featured_embed_url</x:v>
      </x:c>
      <x:c r="B18" s="99" t="str">
        <x:v>https://banki/Nazaha/podcast%20photo/j.jpg</x:v>
      </x:c>
      <x:c r="C18" s="92" t="str">
        <x:v>Existing portrait poster image used by the Media Hub. Keep this image URL and its display dimensions.</x:v>
      </x:c>
    </x:row>
    <x:row r="19" ht="44" customHeight="1">
      <x:c r="A19" s="87" t="str">
        <x:v>monthly_leaderboard_label</x:v>
      </x:c>
      <x:c r="B19" s="106" t="str">
        <x:v>August 2026</x:v>
      </x:c>
      <x:c r="C19" s="92" t="str">
        <x:v>Sample monthly results label. Use Month YYYY or YYYY-MM; do not add a Sample prefix here. Sample names are labelled in the records.</x:v>
      </x:c>
    </x:row>
    <x:row r="20" ht="44" customHeight="1">
      <x:c r="A20" s="87" t="str">
        <x:v>quarterly_leaderboard_label</x:v>
      </x:c>
      <x:c r="B20" s="106" t="str">
        <x:v>Q2 2026</x:v>
      </x:c>
      <x:c r="C20" s="92" t="str">
        <x:v>Sample completed-quarter label. Use Q1 YYYY, Q2 YYYY, Q3 YYYY or Q4 YYYY. Quarterly records are a separate cumulative snapshot.</x:v>
      </x:c>
    </x:row>
    <x:row r="21" ht="30" customHeight="1">
      <x:c r="A21" s="87" t="str">
        <x:v>home_url</x:v>
      </x:c>
      <x:c r="B21" s="99" t="str">
        <x:v>https://banki/Nazaha/Pages/default.aspx</x:v>
      </x:c>
      <x:c r="C21" s="92" t="str">
        <x:v>Home menu destination.</x:v>
      </x:c>
    </x:row>
    <x:row r="22" ht="30" customHeight="1">
      <x:c r="A22" s="87" t="str">
        <x:v>team_url</x:v>
      </x:c>
      <x:c r="B22" s="99" t="str">
        <x:v>https://banki/Nazaha/Pages/Nazaha-Team.aspx</x:v>
      </x:c>
      <x:c r="C22" s="92" t="str">
        <x:v>Nazaha Team menu destination.</x:v>
      </x:c>
    </x:row>
    <x:row r="23" ht="30" customHeight="1">
      <x:c r="A23" s="87" t="str">
        <x:v>media_hub_url</x:v>
      </x:c>
      <x:c r="B23" s="99" t="str">
        <x:v>https://banki/Nazaha/Pages/Media-Hub.aspx</x:v>
      </x:c>
      <x:c r="C23" s="92" t="str">
        <x:v>Media Hub menu destination.</x:v>
      </x:c>
    </x:row>
    <x:row r="24" ht="30" customHeight="1">
      <x:c r="A24" s="87" t="str">
        <x:v>challenge_url</x:v>
      </x:c>
      <x:c r="B24" s="99" t="str">
        <x:v>https://banki/Nazaha/Pages/Challenges-%26-Winners.aspx</x:v>
      </x:c>
      <x:c r="C24" s="92" t="str">
        <x:v>Challenges and Leaderboard. Existing page address is retained.</x:v>
      </x:c>
    </x:row>
    <x:row r="25" ht="30" customHeight="1">
      <x:c r="A25" s="87" t="str">
        <x:v>points_url</x:v>
      </x:c>
      <x:c r="B25" s="99" t="str">
        <x:v>https://banki/Nazaha/Pages/Points-%26-Rewards.aspx</x:v>
      </x:c>
      <x:c r="C25" s="92" t="str">
        <x:v>Points and Recognition. Existing page address is retained.</x:v>
      </x:c>
    </x:row>
    <x:row r="26" ht="30" customHeight="1">
      <x:c r="A26" s="87" t="str">
        <x:v>integrity_guide_url</x:v>
      </x:c>
      <x:c r="B26" s="99" t="str">
        <x:v>https://banki/Nazaha/Pages/Integrity-Guide.aspx</x:v>
      </x:c>
      <x:c r="C26" s="92" t="str">
        <x:v>Integrity Guide menu destination.</x:v>
      </x:c>
    </x:row>
    <x:row r="27" ht="30" customHeight="1">
      <x:c r="A27" s="87" t="str">
        <x:v>speaking_up_page_url</x:v>
      </x:c>
      <x:c r="B27" s="99" t="str">
        <x:v>https://banki/Nazaha/Pages/Speaking-Up.aspx</x:v>
      </x:c>
      <x:c r="C27" s="92" t="str">
        <x:v>Speaking Up menu destination.</x:v>
      </x:c>
    </x:row>
    <x:row r="28" ht="30" customHeight="1">
      <x:c r="A28" s="87" t="str">
        <x:v>faq_url</x:v>
      </x:c>
      <x:c r="B28" s="99" t="str">
        <x:v>https://banki/Nazaha/Pages/FAQ.aspx</x:v>
      </x:c>
      <x:c r="C28" s="92" t="str">
        <x:v>Integrity Q&amp;A menu destination.</x:v>
      </x:c>
    </x:row>
    <x:row r="29" ht="30" customHeight="1">
      <x:c r="A29" s="87" t="str">
        <x:v>speaking_up_email</x:v>
      </x:c>
      <x:c r="B29" s="99" t="str">
        <x:v>speakingup@oman-arabbank.com</x:v>
      </x:c>
      <x:c r="C29" s="92" t="str">
        <x:v>Official Speaking Up mailbox in Code of Conduct, Section 12.</x:v>
      </x:c>
    </x:row>
    <x:row r="30" ht="44" customHeight="1">
      <x:c r="A30" s="87" t="str">
        <x:v>home_period</x:v>
      </x:c>
      <x:c r="B30" s="106" t="str">
        <x:v>2026-09</x:v>
      </x:c>
      <x:c r="C30" s="92" t="str">
        <x:v>Sample campaign month (YYYY-MM). Match HomeRounds.Period. Change to the approved launch month; dates in this file are examples, not a live launch.</x:v>
      </x:c>
    </x:row>
    <x:row r="31" ht="44" customHeight="1">
      <x:c r="A31" s="87" t="str">
        <x:v>home_participation_points</x:v>
      </x:c>
      <x:c r="B31" s="98" t="n">
        <x:v>5</x:v>
      </x:c>
      <x:c r="C31" s="92" t="str">
        <x:v>Points for the first eligible response per employee per round. Apply the same rate in the protected scoring workflow.</x:v>
      </x:c>
    </x:row>
    <x:row r="32" ht="44" customHeight="1">
      <x:c r="A32" s="87" t="str">
        <x:v>home_accuracy_points</x:v>
      </x:c>
      <x:c r="B32" s="98" t="n">
        <x:v>5</x:v>
      </x:c>
      <x:c r="C32" s="92" t="str">
        <x:v>Additional points for a correct first eligible answer. Four rounds at 5 + 5 give up to 40 Nazaha Minute points per month.</x:v>
      </x:c>
    </x:row>
    <x:row r="33" ht="44" customHeight="1">
      <x:c r="A33" s="87" t="str">
        <x:v>points_rules_version</x:v>
      </x:c>
      <x:c r="B33" s="99" t="str">
        <x:v>3.0</x:v>
      </x:c>
      <x:c r="C33" s="92" t="str">
        <x:v>Required Points page rules schema. Keep 3.0. The eligibility input is now 300; adjust the page guard as described in ReadMe if not already done.</x:v>
      </x:c>
    </x:row>
    <x:row r="34" ht="59" customHeight="1">
      <x:c r="A34" s="87" t="str">
        <x:v>points_annual_eligibility</x:v>
      </x:c>
      <x:c r="B34" s="98" t="n">
        <x:v>300</x:v>
      </x:c>
      <x:c r="C34" s="92" t="str">
        <x:v>Inclusive annual eligibility floor: 300 verified points or more. Does not guarantee selection or restrict monthly/quarterly listings. The Points page validation must accept 300, not start at 301.</x:v>
      </x:c>
    </x:row>
    <x:row r="35" ht="44" customHeight="1">
      <x:c r="A35" s="87" t="str">
        <x:v>points_knowledge</x:v>
      </x:c>
      <x:c r="B35" s="98" t="n">
        <x:v>20</x:v>
      </x:c>
      <x:c r="C35" s="92" t="str">
        <x:v>Points for an approved quarterly ethics quiz or training, separate from Nazaha Minute.</x:v>
      </x:c>
    </x:row>
    <x:row r="36" ht="44" customHeight="1">
      <x:c r="A36" s="87" t="str">
        <x:v>points_initiative</x:v>
      </x:c>
      <x:c r="B36" s="98" t="n">
        <x:v>30</x:v>
      </x:c>
      <x:c r="C36" s="92" t="str">
        <x:v>Points for an eligible improvement or issue submission confirmed by the authorised team. No confidential case details in this workbook.</x:v>
      </x:c>
    </x:row>
    <x:row r="37" ht="30" customHeight="1">
      <x:c r="A37" s="87" t="str">
        <x:v>points_engagement</x:v>
      </x:c>
      <x:c r="B37" s="98" t="n">
        <x:v>15</x:v>
      </x:c>
      <x:c r="C37" s="92" t="str">
        <x:v>Points per verified ethics workshop or awareness session.</x:v>
      </x:c>
    </x:row>
    <x:row r="38" ht="44" customHeight="1">
      <x:c r="A38" s="87" t="str">
        <x:v>points_recognition</x:v>
      </x:c>
      <x:c r="B38" s="98" t="n">
        <x:v>40</x:v>
      </x:c>
      <x:c r="C38" s="92" t="str">
        <x:v>Points for an approved line-manager recognition with justification and evidence.</x:v>
      </x:c>
    </x:row>
    <x:row r="39" ht="44" customHeight="1">
      <x:c r="A39" s="87" t="str">
        <x:v>points_peer_nomination</x:v>
      </x:c>
      <x:c r="B39" s="98" t="n">
        <x:v>10</x:v>
      </x:c>
      <x:c r="C39" s="92" t="str">
        <x:v>Points to the nominator for an approved ethical-role-model nomination with a justification of up to 50 words. No automatic points to the nominee.</x:v>
      </x:c>
    </x:row>
    <x:row r="40" ht="30" customHeight="1">
      <x:c r="A40" s="87" t="str">
        <x:v>points_knowledge_per_quarter</x:v>
      </x:c>
      <x:c r="B40" s="98" t="n">
        <x:v>1</x:v>
      </x:c>
      <x:c r="C40" s="92" t="str">
        <x:v>Maximum credited knowledge activities per employee per calendar quarter.</x:v>
      </x:c>
    </x:row>
    <x:row r="41" ht="30" customHeight="1">
      <x:c r="A41" s="87" t="str">
        <x:v>points_initiative_per_quarter</x:v>
      </x:c>
      <x:c r="B41" s="98" t="n">
        <x:v>2</x:v>
      </x:c>
      <x:c r="C41" s="92" t="str">
        <x:v>Maximum credited distinct initiatives per employee per calendar quarter.</x:v>
      </x:c>
    </x:row>
    <x:row r="42" ht="30" customHeight="1">
      <x:c r="A42" s="87" t="str">
        <x:v>points_engagement_per_quarter</x:v>
      </x:c>
      <x:c r="B42" s="98" t="n">
        <x:v>2</x:v>
      </x:c>
      <x:c r="C42" s="92" t="str">
        <x:v>Maximum credited distinct sessions per employee per calendar quarter.</x:v>
      </x:c>
    </x:row>
    <x:row r="43" ht="30" customHeight="1">
      <x:c r="A43" s="87" t="str">
        <x:v>points_recognition_per_year</x:v>
      </x:c>
      <x:c r="B43" s="98" t="n">
        <x:v>2</x:v>
      </x:c>
      <x:c r="C43" s="92" t="str">
        <x:v>Maximum approved manager recognitions per employee per calendar year.</x:v>
      </x:c>
    </x:row>
    <x:row r="44" ht="44" customHeight="1">
      <x:c r="A44" s="87" t="str">
        <x:v>points_peer_nomination_per_month</x:v>
      </x:c>
      <x:c r="B44" s="98" t="n">
        <x:v>1</x:v>
      </x:c>
      <x:c r="C44" s="92" t="str">
        <x:v>Maximum approved peer nominations credited to a nominator per calendar month.</x:v>
      </x:c>
    </x:row>
    <x:row r="45" ht="60" customHeight="1">
      <x:c r="A45"/>
      <x:c r="B45"/>
      <x:c r="C45"/>
    </x:row>
    <x:row r="46" ht="60" customHeight="1">
      <x:c r="A46"/>
      <x:c r="B46"/>
      <x:c r="C46"/>
    </x:row>
    <x:row r="47" ht="60" customHeight="1">
      <x:c r="A47"/>
      <x:c r="B47"/>
      <x:c r="C47"/>
    </x:row>
    <x:row r="48" ht="60" customHeight="1">
      <x:c r="A48"/>
      <x:c r="B48"/>
      <x:c r="C48"/>
    </x:row>
    <x:row r="49" ht="60" customHeight="1">
      <x:c r="A49"/>
      <x:c r="B49"/>
      <x:c r="C49"/>
    </x:row>
    <x:row r="50" ht="60" customHeight="1">
      <x:c r="A50"/>
      <x:c r="B50"/>
      <x:c r="C50"/>
    </x:row>
    <x:row r="51" ht="60" customHeight="1">
      <x:c r="A51"/>
      <x:c r="B51"/>
      <x:c r="C51"/>
    </x:row>
    <x:row r="52" ht="60" customHeight="1">
      <x:c r="A52"/>
      <x:c r="B52"/>
      <x:c r="C52"/>
    </x:row>
    <x:row r="53" ht="60" customHeight="1">
      <x:c r="A53"/>
      <x:c r="B53"/>
      <x:c r="C53"/>
    </x:row>
    <x:row r="54" ht="60" customHeight="1">
      <x:c r="A54"/>
      <x:c r="B54"/>
      <x:c r="C54"/>
    </x:row>
    <x:row r="55" ht="60" customHeight="1">
      <x:c r="A55"/>
      <x:c r="B55"/>
      <x:c r="C55"/>
    </x:row>
  </x:sheetData>
  <x:dataValidations count="14">
    <x:dataValidation type="whole" errorStyle="stop" operator="between" showErrorMessage="1" errorTitle="Check the number" error="Use a whole number between 1 and 1000." sqref="B25">
      <x:formula1>1</x:formula1>
      <x:formula2>1000</x:formula2>
    </x:dataValidation>
    <x:dataValidation type="whole" errorStyle="stop" operator="between" showErrorMessage="1" errorTitle="Check the number" error="Use a whole number between 0 and 100." sqref="B31">
      <x:formula1>0</x:formula1>
      <x:formula2>100</x:formula2>
    </x:dataValidation>
    <x:dataValidation type="whole" errorStyle="stop" operator="between" showErrorMessage="1" errorTitle="Check the number" error="Use a whole number between 0 and 100." sqref="B32">
      <x:formula1>0</x:formula1>
      <x:formula2>100</x:formula2>
    </x:dataValidation>
    <x:dataValidation type="whole" errorStyle="stop" operator="between" showErrorMessage="1" errorTitle="Check the number" error="Use a whole number between 300 and 10000." sqref="B34">
      <x:formula1>300</x:formula1>
      <x:formula2>10000</x:formula2>
    </x:dataValidation>
    <x:dataValidation type="whole" errorStyle="stop" operator="between" showErrorMessage="1" errorTitle="Check the number" error="Use a whole number between 1 and 1000." sqref="B35">
      <x:formula1>1</x:formula1>
      <x:formula2>1000</x:formula2>
    </x:dataValidation>
    <x:dataValidation type="whole" errorStyle="stop" operator="between" showErrorMessage="1" errorTitle="Check the number" error="Use a whole number between 1 and 1000." sqref="B36">
      <x:formula1>1</x:formula1>
      <x:formula2>1000</x:formula2>
    </x:dataValidation>
    <x:dataValidation type="whole" errorStyle="stop" operator="between" showErrorMessage="1" errorTitle="Check the number" error="Use a whole number between 1 and 1000." sqref="B37">
      <x:formula1>1</x:formula1>
      <x:formula2>1000</x:formula2>
    </x:dataValidation>
    <x:dataValidation type="whole" errorStyle="stop" operator="between" showErrorMessage="1" errorTitle="Check the number" error="Use a whole number between 1 and 1000." sqref="B38">
      <x:formula1>1</x:formula1>
      <x:formula2>1000</x:formula2>
    </x:dataValidation>
    <x:dataValidation type="whole" errorStyle="stop" operator="between" showErrorMessage="1" errorTitle="Check the number" error="Use a whole number between 1 and 1000." sqref="B39">
      <x:formula1>1</x:formula1>
      <x:formula2>1000</x:formula2>
    </x:dataValidation>
    <x:dataValidation type="whole" errorStyle="stop" operator="between" showErrorMessage="1" errorTitle="Check the number" error="Use a whole number between 1 and 12." sqref="B40">
      <x:formula1>1</x:formula1>
      <x:formula2>12</x:formula2>
    </x:dataValidation>
    <x:dataValidation type="whole" errorStyle="stop" operator="between" showErrorMessage="1" errorTitle="Check the number" error="Use a whole number between 1 and 12." sqref="B41">
      <x:formula1>1</x:formula1>
      <x:formula2>12</x:formula2>
    </x:dataValidation>
    <x:dataValidation type="whole" errorStyle="stop" operator="between" showErrorMessage="1" errorTitle="Check the number" error="Use a whole number between 1 and 12." sqref="B42">
      <x:formula1>1</x:formula1>
      <x:formula2>12</x:formula2>
    </x:dataValidation>
    <x:dataValidation type="whole" errorStyle="stop" operator="between" showErrorMessage="1" errorTitle="Check the number" error="Use a whole number between 1 and 12." sqref="B43">
      <x:formula1>1</x:formula1>
      <x:formula2>12</x:formula2>
    </x:dataValidation>
    <x:dataValidation type="whole" errorStyle="stop" operator="between" showErrorMessage="1" errorTitle="Check the number" error="Use a whole number between 1 and 12." sqref="B44">
      <x:formula1>1</x:formula1>
      <x:formula2>12</x:formula2>
    </x:dataValidation>
  </x:dataValidations>
  <x:hyperlinks>
    <x:hyperlink xmlns:r="http://schemas.openxmlformats.org/officeDocument/2006/relationships" ref="B9" r:id="R17d58a4b01ec4138"/>
    <x:hyperlink xmlns:r="http://schemas.openxmlformats.org/officeDocument/2006/relationships" ref="B17" r:id="R56b031969d814443"/>
    <x:hyperlink xmlns:r="http://schemas.openxmlformats.org/officeDocument/2006/relationships" ref="B18" r:id="Rea81757ae14b4ce2"/>
    <x:hyperlink xmlns:r="http://schemas.openxmlformats.org/officeDocument/2006/relationships" ref="B19" r:id="Rff8e37b37fa74ee3"/>
    <x:hyperlink xmlns:r="http://schemas.openxmlformats.org/officeDocument/2006/relationships" ref="B20" r:id="R596c05c978284481"/>
    <x:hyperlink xmlns:r="http://schemas.openxmlformats.org/officeDocument/2006/relationships" ref="B25" r:id="Rd002b798b2b94343"/>
    <x:hyperlink xmlns:r="http://schemas.openxmlformats.org/officeDocument/2006/relationships" ref="B26" r:id="R7e98daee351f4682"/>
  </x:hyperlinks>
  <x:pageMargins left="0.7" right="0.7" top="0.75" bottom="0.75" header="0.3" footer="0.3"/>
  <x:tableParts count="1">
    <x:tablePart xmlns:r="http://schemas.openxmlformats.org/officeDocument/2006/relationships" r:id="R477a560e8e2e4b5f"/>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34" hidden="0" customWidth="1"/>
    <x:col min="3" max="5" width="12" customWidth="1"/>
    <x:col min="3" max="3" width="18" hidden="0" customWidth="1"/>
    <x:col min="4" max="4" width="14" hidden="0" customWidth="1"/>
    <x:col min="5" max="5" width="12" hidden="0" customWidth="1"/>
  </x:cols>
  <x:sheetData>
    <x:row r="1" ht="32" customHeight="1">
      <x:c r="A1" s="91" t="str">
        <x:v>Rank</x:v>
      </x:c>
      <x:c r="B1" s="91" t="str">
        <x:v>Name</x:v>
      </x:c>
      <x:c r="C1" s="91" t="str">
        <x:v>EmpId</x:v>
      </x:c>
      <x:c r="D1" s="91" t="str">
        <x:v>Points</x:v>
      </x:c>
      <x:c r="E1" s="91" t="str">
        <x:v>Enabled</x:v>
      </x:c>
    </x:row>
    <x:row r="2" ht="30" customHeight="1">
      <x:c r="A2" s="100" t="n">
        <x:f>'Leaderboards'!B2</x:f>
        <x:v>1</x:v>
      </x:c>
      <x:c r="B2" s="101" t="str">
        <x:f>'Leaderboards'!C2</x:f>
        <x:v>Salim Al Harthi (Sample)</x:v>
      </x:c>
      <x:c r="C2" s="102" t="str">
        <x:f>'Leaderboards'!D2</x:f>
        <x:v>DEMO-001</x:v>
      </x:c>
      <x:c r="D2" s="100" t="n">
        <x:f>'Leaderboards'!E2</x:f>
        <x:v>105</x:v>
      </x:c>
      <x:c r="E2" s="103" t="b">
        <x:v>1</x:v>
      </x:c>
    </x:row>
    <x:row r="3" ht="30" customHeight="1">
      <x:c r="A3" s="100" t="n">
        <x:f>'Leaderboards'!B3</x:f>
        <x:v>2</x:v>
      </x:c>
      <x:c r="B3" s="101" t="str">
        <x:f>'Leaderboards'!C3</x:f>
        <x:v>Maha Al Said (Sample)</x:v>
      </x:c>
      <x:c r="C3" s="102" t="str">
        <x:f>'Leaderboards'!D3</x:f>
        <x:v>DEMO-002</x:v>
      </x:c>
      <x:c r="D3" s="100" t="n">
        <x:f>'Leaderboards'!E3</x:f>
        <x:v>100</x:v>
      </x:c>
      <x:c r="E3" s="103" t="b">
        <x:v>1</x:v>
      </x:c>
    </x:row>
    <x:row r="4" ht="30" customHeight="1">
      <x:c r="A4" s="100" t="n">
        <x:f>'Leaderboards'!B4</x:f>
        <x:v>3</x:v>
      </x:c>
      <x:c r="B4" s="101" t="str">
        <x:f>'Leaderboards'!C4</x:f>
        <x:v>Khalid Al Rawahi (Sample)</x:v>
      </x:c>
      <x:c r="C4" s="102" t="str">
        <x:f>'Leaderboards'!D4</x:f>
        <x:v>DEMO-003</x:v>
      </x:c>
      <x:c r="D4" s="100" t="n">
        <x:f>'Leaderboards'!E4</x:f>
        <x:v>95</x:v>
      </x:c>
      <x:c r="E4" s="103" t="b">
        <x:v>1</x:v>
      </x:c>
    </x:row>
  </x:sheetData>
  <x:dataValidations count="1">
    <x:dataValidation type="list" errorStyle="stop" showErrorMessage="1" errorTitle="Check the value" error="Choose one of the listed values." sqref="E2:E4">
      <x:formula1>"TRUE,FALSE"</x:formula1>
    </x:dataValidation>
  </x:dataValidations>
  <x:pageMargins left="0.7" right="0.7" top="0.75" bottom="0.75" header="0.3" footer="0.3"/>
  <x:tableParts count="1">
    <x:tablePart xmlns:r="http://schemas.openxmlformats.org/officeDocument/2006/relationships" r:id="R220cf99f2e6448e4"/>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3" width="28" customWidth="1"/>
    <x:col min="4" max="5" width="52" customWidth="1"/>
    <x:col min="6" max="6" width="43" hidden="0" customWidth="1"/>
    <x:col min="7" max="7" width="10" customWidth="1"/>
    <x:col min="8" max="8" width="32" hidden="0" customWidth="1"/>
    <x:col min="3" max="3" width="95" hidden="0" customWidth="1"/>
    <x:col min="5" max="5" width="9" hidden="0" customWidth="1"/>
    <x:col min="2" max="2" width="48" hidden="0" customWidth="1"/>
    <x:col min="4" max="4" width="12" hidden="0" customWidth="1"/>
  </x:cols>
  <x:sheetData>
    <x:row r="1" ht="32" customHeight="1">
      <x:c r="A1" s="91" t="str">
        <x:v>Type</x:v>
      </x:c>
      <x:c r="B1" s="91" t="str">
        <x:v>Title_EN</x:v>
      </x:c>
      <x:c r="C1" s="91" t="str">
        <x:v>Text_EN</x:v>
      </x:c>
      <x:c r="D1" s="91" t="str">
        <x:v>Enabled</x:v>
      </x:c>
      <x:c r="E1" s="91" t="str">
        <x:v>Sort</x:v>
      </x:c>
      <x:c r="F1" s="91" t="str">
        <x:v>SourceSection</x:v>
      </x:c>
      <x:c r="G1"/>
      <x:c r="H1"/>
    </x:row>
    <x:row r="2" ht="44" customHeight="1">
      <x:c r="A2" s="87" t="str">
        <x:v>DO</x:v>
      </x:c>
      <x:c r="B2" s="87" t="str">
        <x:v>Complete the annual Code commitment</x:v>
      </x:c>
      <x:c r="C2" s="87" t="str">
        <x:v>Read and follow the Code, complete the annual declaration and finish mandatory training. Optional challenges do not replace these obligations.</x:v>
      </x:c>
      <x:c r="D2" s="96" t="b">
        <x:v>1</x:v>
      </x:c>
      <x:c r="E2" s="98" t="n">
        <x:v>1</x:v>
      </x:c>
      <x:c r="F2" s="92" t="str">
        <x:v>Code of Conduct (2023), Section 1</x:v>
      </x:c>
      <x:c r="G2"/>
      <x:c r="H2"/>
    </x:row>
    <x:row r="3" ht="44" customHeight="1">
      <x:c r="A3" s="87" t="str">
        <x:v>DO</x:v>
      </x:c>
      <x:c r="B3" s="87" t="str">
        <x:v>Update HR when a conflict arises</x:v>
      </x:c>
      <x:c r="C3" s="87" t="str">
        <x:v>Declare relevant interests annually and tell HR immediately when a conflict arises or circumstances change.</x:v>
      </x:c>
      <x:c r="D3" s="96" t="b">
        <x:v>1</x:v>
      </x:c>
      <x:c r="E3" s="98" t="n">
        <x:v>2</x:v>
      </x:c>
      <x:c r="F3" s="92" t="str">
        <x:v>Code of Conduct (2023), Section 5.A</x:v>
      </x:c>
      <x:c r="G3"/>
      <x:c r="H3"/>
    </x:row>
    <x:row r="4" ht="44" customHeight="1">
      <x:c r="A4" s="87" t="str">
        <x:v>DO</x:v>
      </x:c>
      <x:c r="B4" s="87" t="str">
        <x:v>Share information with authorised recipients</x:v>
      </x:c>
      <x:c r="C4" s="87" t="str">
        <x:v>Use approved procedures and share confidential information only with people entitled to receive it for an authorised purpose.</x:v>
      </x:c>
      <x:c r="D4" s="96" t="b">
        <x:v>1</x:v>
      </x:c>
      <x:c r="E4" s="98" t="n">
        <x:v>3</x:v>
      </x:c>
      <x:c r="F4" s="92" t="str">
        <x:v>Code of Conduct (2023), Section 3.I</x:v>
      </x:c>
      <x:c r="G4"/>
      <x:c r="H4"/>
    </x:row>
    <x:row r="5" ht="44" customHeight="1">
      <x:c r="A5" s="87" t="str">
        <x:v>DO</x:v>
      </x:c>
      <x:c r="B5" s="87" t="str">
        <x:v>Raise a genuine concern through the official channel</x:v>
      </x:c>
      <x:c r="C5" s="87" t="str">
        <x:v>Describe the relevant facts and use Speaking Up or the appropriate specialist reporting process.</x:v>
      </x:c>
      <x:c r="D5" s="96" t="b">
        <x:v>1</x:v>
      </x:c>
      <x:c r="E5" s="98" t="n">
        <x:v>4</x:v>
      </x:c>
      <x:c r="F5" s="92" t="str">
        <x:v>Code of Conduct (2023), Section 12</x:v>
      </x:c>
      <x:c r="G5"/>
      <x:c r="H5"/>
    </x:row>
    <x:row r="6" ht="44" customHeight="1">
      <x:c r="A6" s="87" t="str">
        <x:v>DO</x:v>
      </x:c>
      <x:c r="B6" s="87" t="str">
        <x:v>Leave fraud investigation to the authorised team</x:v>
      </x:c>
      <x:c r="C6" s="87" t="str">
        <x:v>Report your suspicion. Do not conduct your own investigation or interview people to test it.</x:v>
      </x:c>
      <x:c r="D6" s="96" t="b">
        <x:v>1</x:v>
      </x:c>
      <x:c r="E6" s="98" t="n">
        <x:v>5</x:v>
      </x:c>
      <x:c r="F6" s="92" t="str">
        <x:v>Code of Conduct (2023), Section 4.E</x:v>
      </x:c>
      <x:c r="G6"/>
      <x:c r="H6"/>
    </x:row>
    <x:row r="7" ht="44" customHeight="1">
      <x:c r="A7" s="87" t="str">
        <x:v>DO</x:v>
      </x:c>
      <x:c r="B7" s="87" t="str">
        <x:v>Report suspicious transactions through Compliance</x:v>
      </x:c>
      <x:c r="C7" s="87" t="str">
        <x:v>Follow suspicious transaction procedures and report to the Chief Compliance Officer. The Code lists aml@oman-arabbank.com for suspected money laundering.</x:v>
      </x:c>
      <x:c r="D7" s="96" t="b">
        <x:v>1</x:v>
      </x:c>
      <x:c r="E7" s="98" t="n">
        <x:v>6</x:v>
      </x:c>
      <x:c r="F7" s="92" t="str">
        <x:v>Code of Conduct (2023), Sections 4.A and 12</x:v>
      </x:c>
      <x:c r="G7"/>
      <x:c r="H7"/>
    </x:row>
    <x:row r="8" ht="44" customHeight="1">
      <x:c r="A8" s="87" t="str">
        <x:v>DO</x:v>
      </x:c>
      <x:c r="B8" s="87" t="str">
        <x:v>Report a suspected information security incident</x:v>
      </x:c>
      <x:c r="C8" s="87" t="str">
        <x:v>Follow incident procedures and contact Information Security at infosec@oman-arabbank.com.</x:v>
      </x:c>
      <x:c r="D8" s="96" t="b">
        <x:v>1</x:v>
      </x:c>
      <x:c r="E8" s="98" t="n">
        <x:v>7</x:v>
      </x:c>
      <x:c r="F8" s="92" t="str">
        <x:v>Code of Conduct (2023), Section 6</x:v>
      </x:c>
      <x:c r="G8"/>
      <x:c r="H8"/>
    </x:row>
    <x:row r="9" ht="44" customHeight="1">
      <x:c r="A9" s="87" t="str">
        <x:v>DO</x:v>
      </x:c>
      <x:c r="B9" s="87" t="str">
        <x:v>Keep records accurate and transparent</x:v>
      </x:c>
      <x:c r="C9" s="87" t="str">
        <x:v>Maintain correct records and use the approved process to correct mistakes. Do not conceal or misrepresent information.</x:v>
      </x:c>
      <x:c r="D9" s="96" t="b">
        <x:v>1</x:v>
      </x:c>
      <x:c r="E9" s="98" t="n">
        <x:v>8</x:v>
      </x:c>
      <x:c r="F9" s="92" t="str">
        <x:v>Code of Conduct (2023), Section 7</x:v>
      </x:c>
      <x:c r="G9"/>
      <x:c r="H9"/>
    </x:row>
    <x:row r="10" ht="44" customHeight="1">
      <x:c r="A10" s="87" t="str">
        <x:v>DO</x:v>
      </x:c>
      <x:c r="B10" s="87" t="str">
        <x:v>Seek guidance before an uncertain decision</x:v>
      </x:c>
      <x:c r="C10" s="87" t="str">
        <x:v>Check the relevant policy and ask the appropriate manager or specialist function when a requirement is unclear.</x:v>
      </x:c>
      <x:c r="D10" s="96" t="b">
        <x:v>1</x:v>
      </x:c>
      <x:c r="E10" s="98" t="n">
        <x:v>9</x:v>
      </x:c>
      <x:c r="F10" s="92" t="str">
        <x:v>Code of Conduct (2023), Sections 1 and 5</x:v>
      </x:c>
      <x:c r="G10"/>
      <x:c r="H10"/>
    </x:row>
    <x:row r="11" ht="44" customHeight="1">
      <x:c r="A11" s="87" t="str">
        <x:v>DO</x:v>
      </x:c>
      <x:c r="B11" s="87" t="str">
        <x:v>Use the required approval process</x:v>
      </x:c>
      <x:c r="C11" s="87" t="str">
        <x:v>Follow the Bank's policies, delegated authority and approval requirements when carrying out your duties.</x:v>
      </x:c>
      <x:c r="D11" s="96" t="b">
        <x:v>1</x:v>
      </x:c>
      <x:c r="E11" s="98" t="n">
        <x:v>10</x:v>
      </x:c>
      <x:c r="F11" s="92" t="str">
        <x:v>Code of Conduct (2023), Section 1</x:v>
      </x:c>
      <x:c r="G11"/>
      <x:c r="H11"/>
    </x:row>
    <x:row r="12" ht="44" customHeight="1">
      <x:c r="A12" s="87" t="str">
        <x:v>DO</x:v>
      </x:c>
      <x:c r="B12" s="87" t="str">
        <x:v>Raise concerns about harassment or discrimination</x:v>
      </x:c>
      <x:c r="C12" s="87" t="str">
        <x:v>Use the appropriate official process to raise genuine concerns about harassment, discrimination or other misconduct.</x:v>
      </x:c>
      <x:c r="D12" s="96" t="b">
        <x:v>1</x:v>
      </x:c>
      <x:c r="E12" s="98" t="n">
        <x:v>11</x:v>
      </x:c>
      <x:c r="F12" s="92" t="str">
        <x:v>Code of Conduct (2023), Section 12</x:v>
      </x:c>
      <x:c r="G12"/>
      <x:c r="H12"/>
    </x:row>
    <x:row r="13" ht="44" customHeight="1">
      <x:c r="A13" s="87" t="str">
        <x:v>DO</x:v>
      </x:c>
      <x:c r="B13" s="87" t="str">
        <x:v>Escalate a gift that a customer insists on giving</x:v>
      </x:c>
      <x:c r="C13" s="87" t="str">
        <x:v>Inform your Group or Division Head and hand the gift to the Head of HRD, as set out in the Code.</x:v>
      </x:c>
      <x:c r="D13" s="96" t="b">
        <x:v>1</x:v>
      </x:c>
      <x:c r="E13" s="98" t="n">
        <x:v>12</x:v>
      </x:c>
      <x:c r="F13" s="92" t="str">
        <x:v>Code of Conduct (2023), Section 5.C</x:v>
      </x:c>
      <x:c r="G13"/>
      <x:c r="H13"/>
    </x:row>
    <x:row r="14" ht="44" customHeight="1">
      <x:c r="A14" s="87" t="str">
        <x:v>DONT</x:v>
      </x:c>
      <x:c r="B14" s="87" t="str">
        <x:v>Accept a customer's cash gift</x:v>
      </x:c>
      <x:c r="C14" s="87" t="str">
        <x:v>Cash and valuable or luxury gifts are prohibited. Follow the reporting and escalation process for offered gifts.</x:v>
      </x:c>
      <x:c r="D14" s="96" t="b">
        <x:v>1</x:v>
      </x:c>
      <x:c r="E14" s="98" t="n">
        <x:v>13</x:v>
      </x:c>
      <x:c r="F14" s="92" t="str">
        <x:v>Code of Conduct (2023), Section 5.C</x:v>
      </x:c>
      <x:c r="G14"/>
      <x:c r="H14"/>
    </x:row>
    <x:row r="15" ht="44" customHeight="1">
      <x:c r="A15" s="87" t="str">
        <x:v>DONT</x:v>
      </x:c>
      <x:c r="B15" s="87" t="str">
        <x:v>Treat OMR 25 as automatic gift approval</x:v>
      </x:c>
      <x:c r="C15" s="87" t="str">
        <x:v>The nominal-value exception is limited and does not make every low-value gift acceptable. Check all the conditions and reporting requirements.</x:v>
      </x:c>
      <x:c r="D15" s="96" t="b">
        <x:v>1</x:v>
      </x:c>
      <x:c r="E15" s="98" t="n">
        <x:v>14</x:v>
      </x:c>
      <x:c r="F15" s="92" t="str">
        <x:v>Code of Conduct (2023), Section 5.C</x:v>
      </x:c>
      <x:c r="G15"/>
      <x:c r="H15"/>
    </x:row>
    <x:row r="16" ht="44" customHeight="1">
      <x:c r="A16" s="87" t="str">
        <x:v>DONT</x:v>
      </x:c>
      <x:c r="B16" s="87" t="str">
        <x:v>Accept a work-related gift through a family member</x:v>
      </x:c>
      <x:c r="C16" s="87" t="str">
        <x:v>The gift rules also apply to gifts offered to family members because of your Bank duties or related relationships.</x:v>
      </x:c>
      <x:c r="D16" s="96" t="b">
        <x:v>1</x:v>
      </x:c>
      <x:c r="E16" s="98" t="n">
        <x:v>15</x:v>
      </x:c>
      <x:c r="F16" s="92" t="str">
        <x:v>Code of Conduct (2023), Section 5.C</x:v>
      </x:c>
      <x:c r="G16"/>
      <x:c r="H16"/>
    </x:row>
    <x:row r="17" ht="44" customHeight="1">
      <x:c r="A17" s="87" t="str">
        <x:v>DONT</x:v>
      </x:c>
      <x:c r="B17" s="87" t="str">
        <x:v>Wait until next year to disclose a new conflict</x:v>
      </x:c>
      <x:c r="C17" s="87" t="str">
        <x:v>A new conflict must be reported to HR immediately. The annual declaration does not replace timely updates.</x:v>
      </x:c>
      <x:c r="D17" s="96" t="b">
        <x:v>1</x:v>
      </x:c>
      <x:c r="E17" s="98" t="n">
        <x:v>16</x:v>
      </x:c>
      <x:c r="F17" s="92" t="str">
        <x:v>Code of Conduct (2023), Section 5.A</x:v>
      </x:c>
      <x:c r="G17"/>
      <x:c r="H17"/>
    </x:row>
    <x:row r="18" ht="44" customHeight="1">
      <x:c r="A18" s="87" t="str">
        <x:v>DONT</x:v>
      </x:c>
      <x:c r="B18" s="87" t="str">
        <x:v>Assume unpaid outside employment needs no approval</x:v>
      </x:c>
      <x:c r="C18" s="87" t="str">
        <x:v>Outside employment or trade generally needs prior written CEO approval even when unpaid. Check the Code's limited exceptions before starting.</x:v>
      </x:c>
      <x:c r="D18" s="96" t="b">
        <x:v>1</x:v>
      </x:c>
      <x:c r="E18" s="98" t="n">
        <x:v>17</x:v>
      </x:c>
      <x:c r="F18" s="92" t="str">
        <x:v>Code of Conduct (2023), Section 5.B</x:v>
      </x:c>
      <x:c r="G18"/>
      <x:c r="H18"/>
    </x:row>
    <x:row r="19" ht="44" customHeight="1">
      <x:c r="A19" s="87" t="str">
        <x:v>DONT</x:v>
      </x:c>
      <x:c r="B19" s="87" t="str">
        <x:v>Alter a record to hide a mistake</x:v>
      </x:c>
      <x:c r="C19" s="87" t="str">
        <x:v>Do not falsify, conceal or misrepresent records or knowingly allow someone else to do so. Correct errors through the approved process.</x:v>
      </x:c>
      <x:c r="D19" s="96" t="b">
        <x:v>1</x:v>
      </x:c>
      <x:c r="E19" s="98" t="n">
        <x:v>18</x:v>
      </x:c>
      <x:c r="F19" s="92" t="str">
        <x:v>Code of Conduct (2023), Section 7</x:v>
      </x:c>
      <x:c r="G19"/>
      <x:c r="H19"/>
    </x:row>
    <x:row r="20" ht="44" customHeight="1">
      <x:c r="A20" s="87" t="str">
        <x:v>DONT</x:v>
      </x:c>
      <x:c r="B20" s="87" t="str">
        <x:v>Copy Bank information to an unapproved service</x:v>
      </x:c>
      <x:c r="C20" s="87" t="str">
        <x:v>Protect confidential information and follow the Bank's information security and approved-system requirements.</x:v>
      </x:c>
      <x:c r="D20" s="96" t="b">
        <x:v>1</x:v>
      </x:c>
      <x:c r="E20" s="98" t="n">
        <x:v>19</x:v>
      </x:c>
      <x:c r="F20" s="92" t="str">
        <x:v>Code of Conduct (2023), Sections 3.I and 6</x:v>
      </x:c>
      <x:c r="G20"/>
      <x:c r="H20"/>
    </x:row>
    <x:row r="21" ht="44" customHeight="1">
      <x:c r="A21" s="87" t="str">
        <x:v>DONT</x:v>
      </x:c>
      <x:c r="B21" s="87" t="str">
        <x:v>Retaliate against someone who speaks up</x:v>
      </x:c>
      <x:c r="C21" s="87" t="str">
        <x:v>Do not disadvantage a person for reporting a genuine concern, obstruct reporting or improperly reveal the person's identity.</x:v>
      </x:c>
      <x:c r="D21" s="96" t="b">
        <x:v>1</x:v>
      </x:c>
      <x:c r="E21" s="98" t="n">
        <x:v>20</x:v>
      </x:c>
      <x:c r="F21" s="92" t="str">
        <x:v>Code of Conduct (2023), Section 12</x:v>
      </x:c>
      <x:c r="G21"/>
      <x:c r="H21"/>
    </x:row>
    <x:row r="22" ht="44" customHeight="1">
      <x:c r="A22" s="87" t="str">
        <x:v>DONT</x:v>
      </x:c>
      <x:c r="B22" s="87" t="str">
        <x:v>Skip a required approval to finish faster</x:v>
      </x:c>
      <x:c r="C22" s="87" t="str">
        <x:v>Urgency does not make the Bank's controls or policies optional. Follow the required process and seek guidance on an approved next step.</x:v>
      </x:c>
      <x:c r="D22" s="96" t="b">
        <x:v>1</x:v>
      </x:c>
      <x:c r="E22" s="98" t="n">
        <x:v>21</x:v>
      </x:c>
      <x:c r="F22" s="92" t="str">
        <x:v>Code of Conduct (2023), Section 1</x:v>
      </x:c>
      <x:c r="G22"/>
      <x:c r="H22"/>
    </x:row>
    <x:row r="23" ht="44" customHeight="1">
      <x:c r="A23" s="87" t="str">
        <x:v>DONT</x:v>
      </x:c>
      <x:c r="B23" s="87" t="str">
        <x:v>Put a confidential case in a challenge answer</x:v>
      </x:c>
      <x:c r="C23" s="87" t="str">
        <x:v>Challenge forms are for learning responses. Use the official reporting channels for concerns and protect confidential case details.</x:v>
      </x:c>
      <x:c r="D23" s="96" t="b">
        <x:v>1</x:v>
      </x:c>
      <x:c r="E23" s="98" t="n">
        <x:v>22</x:v>
      </x:c>
      <x:c r="F23" s="92" t="str">
        <x:v>Nazaha participation model; Code of Conduct (2023), Sections 3.I and 12</x:v>
      </x:c>
      <x:c r="G23"/>
      <x:c r="H23"/>
    </x:row>
    <x:row r="24" ht="44" customHeight="1">
      <x:c r="A24" s="87" t="str">
        <x:v>DONT</x:v>
      </x:c>
      <x:c r="B24" s="87" t="str">
        <x:v>Publish Bank information without the required approval</x:v>
      </x:c>
      <x:c r="C24" s="87" t="str">
        <x:v>Follow the public communication, media and social media requirements before sharing Bank-related information.</x:v>
      </x:c>
      <x:c r="D24" s="96" t="b">
        <x:v>1</x:v>
      </x:c>
      <x:c r="E24" s="98" t="n">
        <x:v>23</x:v>
      </x:c>
      <x:c r="F24" s="92" t="str">
        <x:v>Code of Conduct (2023), Sections 8 and 9</x:v>
      </x:c>
      <x:c r="G24"/>
      <x:c r="H24"/>
    </x:row>
    <x:row r="25" ht="44" customHeight="1">
      <x:c r="A25" s="87" t="str">
        <x:v>DONT</x:v>
      </x:c>
      <x:c r="B25" s="87" t="str">
        <x:v>Interview colleagues to investigate suspected fraud</x:v>
      </x:c>
      <x:c r="C25" s="87" t="str">
        <x:v>Do not conduct your own fraud investigation. Raise the facts through the official route and let the authorised team review the concern.</x:v>
      </x:c>
      <x:c r="D25" s="96" t="b">
        <x:v>1</x:v>
      </x:c>
      <x:c r="E25" s="98" t="n">
        <x:v>24</x:v>
      </x:c>
      <x:c r="F25" s="92" t="str">
        <x:v>Code of Conduct (2023), Section 4.E</x:v>
      </x:c>
      <x:c r="G25"/>
      <x:c r="H25"/>
    </x:row>
    <x:row r="26" ht="44" customHeight="1">
      <x:c r="A26" s="87" t="str">
        <x:v>DO</x:v>
      </x:c>
      <x:c r="B26" s="87" t="str">
        <x:v>Disclose a personal relationship before a supplier decision</x:v>
      </x:c>
      <x:c r="C26" s="87" t="str">
        <x:v>Declare a relevant relationship or interest and follow the Bank's instructions before taking part in a decision.</x:v>
      </x:c>
      <x:c r="D26" s="96" t="b">
        <x:v>1</x:v>
      </x:c>
      <x:c r="E26" s="98" t="n">
        <x:v>25</x:v>
      </x:c>
      <x:c r="F26" s="92" t="str">
        <x:v>Code of Conduct (2023), Section 5.A</x:v>
      </x:c>
    </x:row>
    <x:row r="27" ht="44" customHeight="1">
      <x:c r="A27" s="87" t="str">
        <x:v>DO</x:v>
      </x:c>
      <x:c r="B27" s="87" t="str">
        <x:v>Refer media enquiries to the authorised team</x:v>
      </x:c>
      <x:c r="C27" s="87" t="str">
        <x:v>Send media requests through your department manager and Corporate Communication and follow the approval process.</x:v>
      </x:c>
      <x:c r="D27" s="96" t="b">
        <x:v>1</x:v>
      </x:c>
      <x:c r="E27" s="98" t="n">
        <x:v>26</x:v>
      </x:c>
      <x:c r="F27" s="92" t="str">
        <x:v>Code of Conduct (2023), Section 8</x:v>
      </x:c>
    </x:row>
    <x:row r="28" ht="44" customHeight="1">
      <x:c r="A28" s="87" t="str">
        <x:v>DO</x:v>
      </x:c>
      <x:c r="B28" s="87" t="str">
        <x:v>Cooperate with an authorised audit</x:v>
      </x:c>
      <x:c r="C28" s="87" t="str">
        <x:v>Provide accurate information and allow the authorised team access to relevant records under the approved process.</x:v>
      </x:c>
      <x:c r="D28" s="96" t="b">
        <x:v>1</x:v>
      </x:c>
      <x:c r="E28" s="98" t="n">
        <x:v>27</x:v>
      </x:c>
      <x:c r="F28" s="92" t="str">
        <x:v>Code of Conduct (2023), Section 10</x:v>
      </x:c>
    </x:row>
    <x:row r="29" ht="44" customHeight="1">
      <x:c r="A29" s="87" t="str">
        <x:v>DO</x:v>
      </x:c>
      <x:c r="B29" s="87" t="str">
        <x:v>Protect personal information about colleagues</x:v>
      </x:c>
      <x:c r="C29" s="87" t="str">
        <x:v>Protect employee and supplier personal information as well as customer information from unauthorised access and disclosure.</x:v>
      </x:c>
      <x:c r="D29" s="96" t="b">
        <x:v>1</x:v>
      </x:c>
      <x:c r="E29" s="98" t="n">
        <x:v>28</x:v>
      </x:c>
      <x:c r="F29" s="92" t="str">
        <x:v>Code of Conduct (2023), Section 4.C</x:v>
      </x:c>
    </x:row>
    <x:row r="30" ht="44" customHeight="1">
      <x:c r="A30" s="87" t="str">
        <x:v>DO</x:v>
      </x:c>
      <x:c r="B30" s="87" t="str">
        <x:v>Check that a service is approved for Bank information</x:v>
      </x:c>
      <x:c r="C30" s="87" t="str">
        <x:v>Confirm the approved system and data-handling requirements before using an external service for work information.</x:v>
      </x:c>
      <x:c r="D30" s="96" t="b">
        <x:v>1</x:v>
      </x:c>
      <x:c r="E30" s="98" t="n">
        <x:v>29</x:v>
      </x:c>
      <x:c r="F30" s="92" t="str">
        <x:v>Code of Conduct (2023), Section 3.I and 6</x:v>
      </x:c>
    </x:row>
    <x:row r="31" ht="44" customHeight="1">
      <x:c r="A31" s="87" t="str">
        <x:v>DO</x:v>
      </x:c>
      <x:c r="B31" s="87" t="str">
        <x:v>Explain customer information clearly and accurately</x:v>
      </x:c>
      <x:c r="C31" s="87" t="str">
        <x:v>Give clear, accurate information within your authority and use the approved process for matters outside your role.</x:v>
      </x:c>
      <x:c r="D31" s="96" t="b">
        <x:v>1</x:v>
      </x:c>
      <x:c r="E31" s="98" t="n">
        <x:v>30</x:v>
      </x:c>
      <x:c r="F31" s="92" t="str">
        <x:v>Code of Conduct (2023), Section 4.H</x:v>
      </x:c>
    </x:row>
    <x:row r="32" ht="44" customHeight="1">
      <x:c r="A32" s="87" t="str">
        <x:v>DONT</x:v>
      </x:c>
      <x:c r="B32" s="87" t="str">
        <x:v>Promise a customer an unapproved outcome</x:v>
      </x:c>
      <x:c r="C32" s="87" t="str">
        <x:v>Do not make misleading or unsupported promises. Explain what is confirmed and refer decisions outside your authority.</x:v>
      </x:c>
      <x:c r="D32" s="96" t="b">
        <x:v>1</x:v>
      </x:c>
      <x:c r="E32" s="98" t="n">
        <x:v>31</x:v>
      </x:c>
      <x:c r="F32" s="92" t="str">
        <x:v>Code of Conduct (2023), Section 3.A and 4.H</x:v>
      </x:c>
    </x:row>
    <x:row r="33" ht="44" customHeight="1">
      <x:c r="A33" s="87" t="str">
        <x:v>DONT</x:v>
      </x:c>
      <x:c r="B33" s="87" t="str">
        <x:v>Keep confidential Bank files after leaving</x:v>
      </x:c>
      <x:c r="C33" s="87" t="str">
        <x:v>Return Bank materials through the exit process and continue to protect confidential information after employment ends.</x:v>
      </x:c>
      <x:c r="D33" s="96" t="b">
        <x:v>1</x:v>
      </x:c>
      <x:c r="E33" s="98" t="n">
        <x:v>32</x:v>
      </x:c>
      <x:c r="F33" s="92" t="str">
        <x:v>Code of Conduct (2023), Section 3.I</x:v>
      </x:c>
    </x:row>
    <x:row r="34" ht="44" customHeight="1">
      <x:c r="A34" s="87" t="str">
        <x:v>DONT</x:v>
      </x:c>
      <x:c r="B34" s="87" t="str">
        <x:v>Use the Bank logo to promote a private business</x:v>
      </x:c>
      <x:c r="C34" s="87" t="str">
        <x:v>Do not use the Bank's name or logo for private business or personal benefit. Follow the outside-work requirements.</x:v>
      </x:c>
      <x:c r="D34" s="96" t="b">
        <x:v>1</x:v>
      </x:c>
      <x:c r="E34" s="98" t="n">
        <x:v>33</x:v>
      </x:c>
      <x:c r="F34" s="92" t="str">
        <x:v>Code of Conduct (2023), Section 5</x:v>
      </x:c>
    </x:row>
    <x:row r="35" ht="44" customHeight="1">
      <x:c r="A35" s="87" t="str">
        <x:v>DONT</x:v>
      </x:c>
      <x:c r="B35" s="87" t="str">
        <x:v>Share your work account to help a colleague</x:v>
      </x:c>
      <x:c r="C35" s="87" t="str">
        <x:v>Protect user identification and passwords. Use approved access or delegation processes rather than shared credentials.</x:v>
      </x:c>
      <x:c r="D35" s="96" t="b">
        <x:v>1</x:v>
      </x:c>
      <x:c r="E35" s="98" t="n">
        <x:v>34</x:v>
      </x:c>
      <x:c r="F35" s="92" t="str">
        <x:v>Code of Conduct (2023), Section 5.E and 6</x:v>
      </x:c>
    </x:row>
    <x:row r="36" ht="44" customHeight="1">
      <x:c r="A36" s="87" t="str">
        <x:v>DONT</x:v>
      </x:c>
      <x:c r="B36" s="87" t="str">
        <x:v>Hide relevant records from an authorised auditor</x:v>
      </x:c>
      <x:c r="C36" s="87" t="str">
        <x:v>Do not conceal, alter or obstruct access to relevant information requested through an authorised audit or investigation.</x:v>
      </x:c>
      <x:c r="D36" s="96" t="b">
        <x:v>1</x:v>
      </x:c>
      <x:c r="E36" s="98" t="n">
        <x:v>35</x:v>
      </x:c>
      <x:c r="F36" s="92" t="str">
        <x:v>Code of Conduct (2023), Section 10</x:v>
      </x:c>
    </x:row>
    <x:row r="37" ht="44" customHeight="1">
      <x:c r="A37" s="87" t="str">
        <x:v>DONT</x:v>
      </x:c>
      <x:c r="B37" s="87" t="str">
        <x:v>Send insulting or discriminatory work messages</x:v>
      </x:c>
      <x:c r="C37" s="87" t="str">
        <x:v>Professional conduct applies to messages, email and calls as well as in-person interactions. Treat others respectfully.</x:v>
      </x:c>
      <x:c r="D37" s="96" t="b">
        <x:v>1</x:v>
      </x:c>
      <x:c r="E37" s="98" t="n">
        <x:v>36</x:v>
      </x:c>
      <x:c r="F37" s="92" t="str">
        <x:v>Code of Conduct (2023), Section 3.C and 4.J</x:v>
      </x:c>
    </x:row>
  </x:sheetData>
  <x:dataValidations count="3">
    <x:dataValidation type="list" errorStyle="stop" showErrorMessage="1" errorTitle="Check the value" error="Choose one of the listed values." sqref="D2:D37">
      <x:formula1>"TRUE,FALSE"</x:formula1>
    </x:dataValidation>
    <x:dataValidation type="whole" errorStyle="stop" operator="between" showErrorMessage="1" errorTitle="Check the number" error="Use a whole number between 1 and 100000." sqref="E2:E37">
      <x:formula1>1</x:formula1>
      <x:formula2>100000</x:formula2>
    </x:dataValidation>
    <x:dataValidation type="list" errorStyle="stop" showErrorMessage="1" errorTitle="Check the value" error="Choose one of the listed values." sqref="A2:A37">
      <x:formula1>"DO,DONT"</x:formula1>
    </x:dataValidation>
  </x:dataValidations>
  <x:pageMargins left="0.7" right="0.7" top="0.75" bottom="0.75" header="0.3" footer="0.3"/>
  <x:tableParts count="1">
    <x:tablePart xmlns:r="http://schemas.openxmlformats.org/officeDocument/2006/relationships" r:id="R9a3de659d2094095"/>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6" hidden="0" customWidth="1"/>
    <x:col min="2" max="3" width="34" customWidth="1"/>
    <x:col min="4" max="5" width="58" customWidth="1"/>
    <x:col min="6" max="6" width="44" hidden="0" customWidth="1"/>
    <x:col min="7" max="7" width="10" customWidth="1"/>
    <x:col min="8" max="8" width="32" hidden="0" customWidth="1"/>
    <x:col min="3" max="3" width="106" hidden="0" customWidth="1"/>
    <x:col min="5" max="5" width="9" hidden="0" customWidth="1"/>
    <x:col min="4" max="4" width="12" hidden="0" customWidth="1"/>
    <x:col min="2" max="2" width="55" hidden="0" customWidth="1"/>
  </x:cols>
  <x:sheetData>
    <x:row r="1" ht="32" customHeight="1">
      <x:c r="A1" s="91" t="str">
        <x:v>Category</x:v>
      </x:c>
      <x:c r="B1" s="91" t="str">
        <x:v>Question_EN</x:v>
      </x:c>
      <x:c r="C1" s="91" t="str">
        <x:v>Answer_EN</x:v>
      </x:c>
      <x:c r="D1" s="91" t="str">
        <x:v>Enabled</x:v>
      </x:c>
      <x:c r="E1" s="91" t="str">
        <x:v>Sort</x:v>
      </x:c>
      <x:c r="F1" s="91" t="str">
        <x:v>SourceSection</x:v>
      </x:c>
      <x:c r="G1"/>
      <x:c r="H1"/>
    </x:row>
    <x:row r="2" ht="44" customHeight="1">
      <x:c r="A2" s="87" t="str">
        <x:v>General</x:v>
      </x:c>
      <x:c r="B2" s="87" t="str">
        <x:v>What is Nazaha?</x:v>
      </x:c>
      <x:c r="C2" s="87" t="str">
        <x:v>Nazaha is the Bank's integrity and ethics initiative. The portal brings together practical guidance, awareness content, the Nazaha team and learning activities.</x:v>
      </x:c>
      <x:c r="D2" s="96" t="b">
        <x:v>1</x:v>
      </x:c>
      <x:c r="E2" s="98" t="n">
        <x:v>1</x:v>
      </x:c>
      <x:c r="F2" s="92" t="str">
        <x:v>Nazaha portal content</x:v>
      </x:c>
      <x:c r="G2"/>
      <x:c r="H2"/>
    </x:row>
    <x:row r="3" ht="59" customHeight="1">
      <x:c r="A3" s="87" t="str">
        <x:v>Nazaha Minute</x:v>
      </x:c>
      <x:c r="B3" s="87" t="str">
        <x:v>How does Nazaha Minute work?</x:v>
      </x:c>
      <x:c r="C3" s="87" t="str">
        <x:v>Nazaha Minute has four short rounds each month, opening weekly. Visit Challenges &amp; Leaderboard for the published schedule and use the official form for an open round. A round accepts entries only during its published window.</x:v>
      </x:c>
      <x:c r="D3" s="96" t="b">
        <x:v>1</x:v>
      </x:c>
      <x:c r="E3" s="98" t="n">
        <x:v>2</x:v>
      </x:c>
      <x:c r="F3" s="92" t="str">
        <x:v>Nazaha participation model</x:v>
      </x:c>
      <x:c r="G3"/>
      <x:c r="H3"/>
    </x:row>
    <x:row r="4" ht="44" customHeight="1">
      <x:c r="A4" s="87" t="str">
        <x:v>Participation</x:v>
      </x:c>
      <x:c r="B4" s="87" t="str">
        <x:v>Is participation in Nazaha Minute mandatory?</x:v>
      </x:c>
      <x:c r="C4" s="87" t="str">
        <x:v>Nazaha Minute and the points programme are voluntary. They do not replace the duty to follow the Code of Conduct, complete the annual declaration or complete mandatory training.</x:v>
      </x:c>
      <x:c r="D4" s="96" t="b">
        <x:v>1</x:v>
      </x:c>
      <x:c r="E4" s="98" t="n">
        <x:v>3</x:v>
      </x:c>
      <x:c r="F4" s="92" t="str">
        <x:v>Nazaha programme; Code of Conduct (2023), Section 1</x:v>
      </x:c>
      <x:c r="G4"/>
      <x:c r="H4"/>
    </x:row>
    <x:row r="5" ht="59" customHeight="1">
      <x:c r="A5" s="87" t="str">
        <x:v>Points</x:v>
      </x:c>
      <x:c r="B5" s="87" t="str">
        <x:v>How do I earn points in a Nazaha Minute round?</x:v>
      </x:c>
      <x:c r="C5" s="87" t="str">
        <x:f>"Earn "&amp;'Settings'!$B$31&amp;" points for one eligible first response, plus "&amp;'Settings'!$B$32&amp;" additional points for a correct first answer. The maximum is "&amp;('Settings'!$B$31+'Settings'!$B$32)&amp;" points per round. Use your work account and submit within the published round window."</x:f>
        <x:v>Earn 5 points for one eligible first response, plus 5 additional points for a correct first answer. The maximum is 10 points per round. Use your work account and submit within the published round window.</x:v>
      </x:c>
      <x:c r="D5" s="96" t="b">
        <x:v>1</x:v>
      </x:c>
      <x:c r="E5" s="98" t="n">
        <x:v>4</x:v>
      </x:c>
      <x:c r="F5" s="92" t="str">
        <x:v>Nazaha programme point rules</x:v>
      </x:c>
      <x:c r="G5"/>
      <x:c r="H5"/>
    </x:row>
    <x:row r="6" ht="59" customHeight="1">
      <x:c r="A6" s="87" t="str">
        <x:v>Points</x:v>
      </x:c>
      <x:c r="B6" s="87" t="str">
        <x:v>What is the maximum monthly score for Nazaha Minute?</x:v>
      </x:c>
      <x:c r="C6" s="87" t="str">
        <x:f>"Four rounds offer up to "&amp;('Settings'!$B$31+'Settings'!$B$32)&amp;" points each, giving a maximum of "&amp;(4*('Settings'!$B$31+'Settings'!$B$32))&amp;" Nazaha Minute points per month. This limit applies only to Nazaha Minute. Other eligible activity categories add to the programme total."</x:f>
        <x:v>Four rounds offer up to 10 points each, giving a maximum of 40 Nazaha Minute points per month. This limit applies only to Nazaha Minute. Other eligible activity categories add to the programme total.</x:v>
      </x:c>
      <x:c r="D6" s="96" t="b">
        <x:v>1</x:v>
      </x:c>
      <x:c r="E6" s="98" t="n">
        <x:v>5</x:v>
      </x:c>
      <x:c r="F6" s="92" t="str">
        <x:v>Nazaha programme point rules</x:v>
      </x:c>
      <x:c r="G6"/>
      <x:c r="H6"/>
    </x:row>
    <x:row r="7" ht="44" customHeight="1">
      <x:c r="A7" s="87" t="str">
        <x:v>Points</x:v>
      </x:c>
      <x:c r="B7" s="87" t="str">
        <x:v>Do I receive points if my answer is incorrect?</x:v>
      </x:c>
      <x:c r="C7" s="87" t="str">
        <x:f>"An eligible first response earns "&amp;'Settings'!$B$31&amp;" participation points. The additional "&amp;'Settings'!$B$32&amp;" accuracy points are awarded only for a correct first answer."</x:f>
        <x:v>An eligible first response earns 5 participation points. The additional 5 accuracy points are awarded only for a correct first answer.</x:v>
      </x:c>
      <x:c r="D7" s="96" t="b">
        <x:v>1</x:v>
      </x:c>
      <x:c r="E7" s="98" t="n">
        <x:v>6</x:v>
      </x:c>
      <x:c r="F7" s="92" t="str">
        <x:v>Settings.home_participation_points; Settings.home_accuracy_points</x:v>
      </x:c>
      <x:c r="G7"/>
      <x:c r="H7"/>
    </x:row>
    <x:row r="8" ht="59" customHeight="1">
      <x:c r="A8" s="87" t="str">
        <x:v>Points</x:v>
      </x:c>
      <x:c r="B8" s="87" t="str">
        <x:v>When will my points appear?</x:v>
      </x:c>
      <x:c r="C8" s="87" t="str">
        <x:v>Points appear after responses or other eligible activities have been verified and the results published. A submission confirmation does not mean points are awarded or the leaderboard has refreshed. Check the published reporting period.</x:v>
      </x:c>
      <x:c r="D8" s="96" t="b">
        <x:v>1</x:v>
      </x:c>
      <x:c r="E8" s="98" t="n">
        <x:v>7</x:v>
      </x:c>
      <x:c r="F8" s="92" t="str">
        <x:v>Nazaha programme point rules</x:v>
      </x:c>
      <x:c r="G8"/>
      <x:c r="H8"/>
    </x:row>
    <x:row r="9" ht="44" customHeight="1">
      <x:c r="A9" s="87" t="str">
        <x:v>Participation</x:v>
      </x:c>
      <x:c r="B9" s="87" t="str">
        <x:v>Can I submit more than once to increase my score?</x:v>
      </x:c>
      <x:c r="C9" s="87" t="str">
        <x:v>Only the first eligible response for your work account and that round counts. Reopening the form, refreshing the page or repeating a response does not earn additional points.</x:v>
      </x:c>
      <x:c r="D9" s="96" t="b">
        <x:v>1</x:v>
      </x:c>
      <x:c r="E9" s="98" t="n">
        <x:v>8</x:v>
      </x:c>
      <x:c r="F9" s="92" t="str">
        <x:v>Nazaha participation model</x:v>
      </x:c>
      <x:c r="G9"/>
      <x:c r="H9"/>
    </x:row>
    <x:row r="10" ht="44" customHeight="1">
      <x:c r="A10" s="87" t="str">
        <x:v>Nazaha Minute</x:v>
      </x:c>
      <x:c r="B10" s="87" t="str">
        <x:v>When does a round open and close?</x:v>
      </x:c>
      <x:c r="C10" s="87" t="str">
        <x:v>Each round follows its published opening and closing times. The portal displays times in Oman time, GST, UTC+04:00. Use the form during the open window.</x:v>
      </x:c>
      <x:c r="D10" s="96" t="b">
        <x:v>1</x:v>
      </x:c>
      <x:c r="E10" s="98" t="n">
        <x:v>9</x:v>
      </x:c>
      <x:c r="F10" s="92" t="str">
        <x:v>HomeRounds.OpenAt; HomeRounds.CloseAt</x:v>
      </x:c>
      <x:c r="G10"/>
      <x:c r="H10"/>
    </x:row>
    <x:row r="11" ht="59" customHeight="1">
      <x:c r="A11" s="87" t="str">
        <x:v>Nazaha Minute</x:v>
      </x:c>
      <x:c r="B11" s="87" t="str">
        <x:v>Why is a round marked as upcoming or unavailable?</x:v>
      </x:c>
      <x:c r="C11" s="87" t="str">
        <x:v>An upcoming round has not opened yet. A round without published dates and a working form is not ready to accept entries. The challenge page will show the next available activity when it is published.</x:v>
      </x:c>
      <x:c r="D11" s="96" t="b">
        <x:v>1</x:v>
      </x:c>
      <x:c r="E11" s="98" t="n">
        <x:v>10</x:v>
      </x:c>
      <x:c r="F11" s="92" t="str">
        <x:v>HomeRounds configuration</x:v>
      </x:c>
      <x:c r="G11"/>
      <x:c r="H11"/>
    </x:row>
    <x:row r="12" ht="44" customHeight="1">
      <x:c r="A12" s="87" t="str">
        <x:v>Participation</x:v>
      </x:c>
      <x:c r="B12" s="87" t="str">
        <x:v>What if I miss a round?</x:v>
      </x:c>
      <x:c r="C12" s="87" t="str">
        <x:v>You can join the next available round. Points are based on eligible responses within each published window. A missed round does not prevent you from taking part in later rounds.</x:v>
      </x:c>
      <x:c r="D12" s="96" t="b">
        <x:v>1</x:v>
      </x:c>
      <x:c r="E12" s="98" t="n">
        <x:v>11</x:v>
      </x:c>
      <x:c r="F12" s="92" t="str">
        <x:v>Nazaha participation model</x:v>
      </x:c>
      <x:c r="G12"/>
      <x:c r="H12"/>
    </x:row>
    <x:row r="13" ht="59" customHeight="1">
      <x:c r="A13" s="87" t="str">
        <x:v>Participation</x:v>
      </x:c>
      <x:c r="B13" s="87" t="str">
        <x:v>Which account should I use?</x:v>
      </x:c>
      <x:c r="C13" s="87" t="str">
        <x:v>Use your Bank work account in the official challenge form. Your verified account identifies your entry. Do not submit using a colleague's account or include customer information in challenge answers.</x:v>
      </x:c>
      <x:c r="D13" s="96" t="b">
        <x:v>1</x:v>
      </x:c>
      <x:c r="E13" s="98" t="n">
        <x:v>12</x:v>
      </x:c>
      <x:c r="F13" s="92" t="str">
        <x:v>Nazaha participation model</x:v>
      </x:c>
      <x:c r="G13"/>
      <x:c r="H13"/>
    </x:row>
    <x:row r="14" ht="59" customHeight="1">
      <x:c r="A14" s="87" t="str">
        <x:v>Points</x:v>
      </x:c>
      <x:c r="B14" s="87" t="str">
        <x:v>Do page visits, downloads or practice activities earn points?</x:v>
      </x:c>
      <x:c r="C14" s="87" t="str">
        <x:v>Page visits, downloads, media views and practice activities do not award points. Eligible Nazaha Minute responses, approved knowledge activities, initiatives, verified sessions, manager recognition and approved peer nominations can count under their published limits.</x:v>
      </x:c>
      <x:c r="D14" s="96" t="b">
        <x:v>1</x:v>
      </x:c>
      <x:c r="E14" s="98" t="n">
        <x:v>13</x:v>
      </x:c>
      <x:c r="F14" s="92" t="str">
        <x:v>Nazaha programme point rules</x:v>
      </x:c>
      <x:c r="G14"/>
      <x:c r="H14"/>
    </x:row>
    <x:row r="15" ht="74" customHeight="1">
      <x:c r="A15" s="87" t="str">
        <x:v>Speaking Up</x:v>
      </x:c>
      <x:c r="B15" s="87" t="str">
        <x:v>Does submitting a Speaking Up concern automatically award programme points?</x:v>
      </x:c>
      <x:c r="C15" s="87" t="str">
        <x:v>No. Speaking Up is an official reporting process, not a points submission. Any eligible initiative credit requires private verification by the authorised team under the programme rules. Do not delay or duplicate a report to earn points. Never put a reporter's identity or confidential case details in public results.</x:v>
      </x:c>
      <x:c r="D15" s="96" t="b">
        <x:v>1</x:v>
      </x:c>
      <x:c r="E15" s="98" t="n">
        <x:v>14</x:v>
      </x:c>
      <x:c r="F15" s="92" t="str">
        <x:v>Nazaha programme point rules; Code of Conduct (2023), Section 12</x:v>
      </x:c>
      <x:c r="G15"/>
      <x:c r="H15"/>
    </x:row>
    <x:row r="16" ht="44" customHeight="1">
      <x:c r="A16" s="87" t="str">
        <x:v>Recognition</x:v>
      </x:c>
      <x:c r="B16" s="87" t="str">
        <x:v>Are there cash prizes, vouchers or gifts for programme points?</x:v>
      </x:c>
      <x:c r="C16" s="87" t="str">
        <x:v>Programme recognition is through points and published names. The points programme does not offer cash prizes, vouchers or gifts.</x:v>
      </x:c>
      <x:c r="D16" s="96" t="b">
        <x:v>1</x:v>
      </x:c>
      <x:c r="E16" s="98" t="n">
        <x:v>15</x:v>
      </x:c>
      <x:c r="F16" s="92" t="str">
        <x:v>Nazaha programme point rules</x:v>
      </x:c>
      <x:c r="G16"/>
      <x:c r="H16"/>
    </x:row>
    <x:row r="17" ht="59" customHeight="1">
      <x:c r="A17" s="87" t="str">
        <x:v>Recognition</x:v>
      </x:c>
      <x:c r="B17" s="87" t="str">
        <x:v>Where can I find the top participants?</x:v>
      </x:c>
      <x:c r="C17" s="87" t="str">
        <x:v>The home page highlights the top three published participants. The Challenges and Leaderboard page is the destination for the top ten and the results archive. Names appear after results are verified and published.</x:v>
      </x:c>
      <x:c r="D17" s="96" t="b">
        <x:v>1</x:v>
      </x:c>
      <x:c r="E17" s="98" t="n">
        <x:v>16</x:v>
      </x:c>
      <x:c r="F17" s="92" t="str">
        <x:v>Nazaha portal publication model</x:v>
      </x:c>
      <x:c r="G17"/>
      <x:c r="H17"/>
    </x:row>
    <x:row r="18" ht="59" customHeight="1">
      <x:c r="A18" s="87" t="str">
        <x:v>Recognition</x:v>
      </x:c>
      <x:c r="B18" s="87" t="str">
        <x:v>How are quarterly points calculated?</x:v>
      </x:c>
      <x:c r="C18" s="87" t="str">
        <x:v>Quarterly totals include eligible, verified points from all programme categories in the three calendar months of that quarter. Count each activity once. Use the eligible activity date in Oman time and enforce category limits within their relevant month, quarter or year.</x:v>
      </x:c>
      <x:c r="D18" s="96" t="b">
        <x:v>1</x:v>
      </x:c>
      <x:c r="E18" s="98" t="n">
        <x:v>17</x:v>
      </x:c>
      <x:c r="F18" s="92" t="str">
        <x:v>Nazaha programme point rules</x:v>
      </x:c>
      <x:c r="G18"/>
      <x:c r="H18"/>
    </x:row>
    <x:row r="19" ht="74" customHeight="1">
      <x:c r="A19" s="87" t="str">
        <x:v>Recognition</x:v>
      </x:c>
      <x:c r="B19" s="87" t="str">
        <x:v>How are leaderboard results checked?</x:v>
      </x:c>
      <x:c r="C19" s="87" t="str">
        <x:v>Results are checked against official response and approved activity records. Duplicate or ineligible claims do not count. The same contribution cannot be credited twice under different categories. Corrections must update all affected period totals and standings together.</x:v>
      </x:c>
      <x:c r="D19" s="96" t="b">
        <x:v>1</x:v>
      </x:c>
      <x:c r="E19" s="98" t="n">
        <x:v>18</x:v>
      </x:c>
      <x:c r="F19" s="92" t="str">
        <x:v>Nazaha programme point rules</x:v>
      </x:c>
      <x:c r="G19"/>
      <x:c r="H19"/>
    </x:row>
    <x:row r="20" ht="74" customHeight="1">
      <x:c r="A20" s="87" t="str">
        <x:v>Points</x:v>
      </x:c>
      <x:c r="B20" s="87" t="str">
        <x:v>Do points reset every month?</x:v>
      </x:c>
      <x:c r="C20" s="87" t="str">
        <x:v>Each month has its own total. Eligible activities also contribute once to their calendar-quarter and calendar-year totals. Do not add overlapping monthly, quarterly and annual totals together. Annual eligibility starts afresh on 1 January; historical results remain in their original year.</x:v>
      </x:c>
      <x:c r="D20" s="96" t="b">
        <x:v>1</x:v>
      </x:c>
      <x:c r="E20" s="98" t="n">
        <x:v>19</x:v>
      </x:c>
      <x:c r="F20" s="92" t="str">
        <x:v>Nazaha programme point rules</x:v>
      </x:c>
      <x:c r="G20"/>
      <x:c r="H20"/>
    </x:row>
    <x:row r="21" ht="89" customHeight="1">
      <x:c r="A21" s="87" t="str">
        <x:v>Points</x:v>
      </x:c>
      <x:c r="B21" s="87" t="str">
        <x:v>Which activities count towards annual recognition?</x:v>
      </x:c>
      <x:c r="C21" s="87" t="str">
        <x:f>"Nazaha Minute and verified Knowledge ("&amp;'Settings'!$B$35&amp;" points), Initiative ("&amp;'Settings'!$B$36&amp;"), Engagement ("&amp;'Settings'!$B$37&amp;"), Manager Recognition ("&amp;'Settings'!$B$38&amp;") and Peer Nomination ("&amp;'Settings'!$B$39&amp;" to the nominator) contribute once to the calendar-year total. Category limits apply. At least "&amp;'Settings'!$B$34&amp;" verified points are required for annual consideration. Eligibility does not guarantee selection or restrict monthly or quarterly listings."</x:f>
        <x:v>Nazaha Minute and verified Knowledge (20 points), Initiative (30), Engagement (15), Manager Recognition (40) and Peer Nomination (10 to the nominator) contribute once to the calendar-year total. Category limits apply. At least 300 verified points are required for annual consideration. Eligibility does not guarantee selection or restrict monthly or quarterly listings.</x:v>
      </x:c>
      <x:c r="D21" s="96" t="b">
        <x:v>1</x:v>
      </x:c>
      <x:c r="E21" s="98" t="n">
        <x:v>20</x:v>
      </x:c>
      <x:c r="F21" s="92" t="str">
        <x:v>Nazaha programme point rules</x:v>
      </x:c>
      <x:c r="G21"/>
      <x:c r="H21"/>
    </x:row>
    <x:row r="22" ht="59" customHeight="1">
      <x:c r="A22" s="87" t="str">
        <x:v>Support</x:v>
      </x:c>
      <x:c r="B22" s="87" t="str">
        <x:v>What should I do if my published score looks incorrect?</x:v>
      </x:c>
      <x:c r="C22" s="87" t="str">
        <x:v>Contact the Nazaha team with your work account, the round and the submission date. The team can check the response record. Avoid sending customer data or details of a confidential concern as part of a points enquiry.</x:v>
      </x:c>
      <x:c r="D22" s="96" t="b">
        <x:v>1</x:v>
      </x:c>
      <x:c r="E22" s="98" t="n">
        <x:v>21</x:v>
      </x:c>
      <x:c r="F22" s="92" t="str">
        <x:v>Nazaha participation model</x:v>
      </x:c>
      <x:c r="G22"/>
      <x:c r="H22"/>
    </x:row>
    <x:row r="23" ht="59" customHeight="1">
      <x:c r="A23" s="87" t="str">
        <x:v>General</x:v>
      </x:c>
      <x:c r="B23" s="87" t="str">
        <x:v>Where can I find guidance and the official Code of Conduct?</x:v>
      </x:c>
      <x:c r="C23" s="87" t="str">
        <x:v>Use Integrity Q&amp;A for common questions, the Integrity Guide for practice, Speaking Up for reporting guidance and the Media Hub for the English and Arabic Code of Conduct links. Check the relevant approved policy when you need more detail.</x:v>
      </x:c>
      <x:c r="D23" s="96" t="b">
        <x:v>1</x:v>
      </x:c>
      <x:c r="E23" s="98" t="n">
        <x:v>22</x:v>
      </x:c>
      <x:c r="F23" s="92" t="str">
        <x:v>Nazaha portal navigation</x:v>
      </x:c>
      <x:c r="G23"/>
      <x:c r="H23"/>
    </x:row>
    <x:row r="24" ht="59" customHeight="1">
      <x:c r="A24" s="87" t="str">
        <x:v>Code of Conduct</x:v>
      </x:c>
      <x:c r="B24" s="87" t="str">
        <x:v>What does the annual Code of Conduct commitment require?</x:v>
      </x:c>
      <x:c r="C24" s="87" t="str">
        <x:v>Employees must read, understand and follow the Code of Conduct, complete the annual declaration and complete mandatory training. Participation in a Nazaha challenge does not replace these requirements.</x:v>
      </x:c>
      <x:c r="D24" s="96" t="b">
        <x:v>1</x:v>
      </x:c>
      <x:c r="E24" s="98" t="n">
        <x:v>23</x:v>
      </x:c>
      <x:c r="F24" s="92" t="str">
        <x:v>Code of Conduct (2023), Section 1</x:v>
      </x:c>
      <x:c r="G24"/>
      <x:c r="H24"/>
    </x:row>
    <x:row r="25" ht="59" customHeight="1">
      <x:c r="A25" s="87" t="str">
        <x:v>Speaking Up</x:v>
      </x:c>
      <x:c r="B25" s="87" t="str">
        <x:v>What concerns can be raised through Speaking Up?</x:v>
      </x:c>
      <x:c r="C25" s="87" t="str">
        <x:v>Examples include suspected fraud, corruption, policy breaches, harassment, discrimination, misuse of Bank assets and threats to safety. Concerns may relate to past, current or potential wrongdoing.</x:v>
      </x:c>
      <x:c r="D25" s="96" t="b">
        <x:v>1</x:v>
      </x:c>
      <x:c r="E25" s="98" t="n">
        <x:v>24</x:v>
      </x:c>
      <x:c r="F25" s="92" t="str">
        <x:v>Code of Conduct (2023), Section 12</x:v>
      </x:c>
      <x:c r="G25"/>
      <x:c r="H25"/>
    </x:row>
    <x:row r="26" ht="59" customHeight="1">
      <x:c r="A26" s="87" t="str">
        <x:v>Speaking Up</x:v>
      </x:c>
      <x:c r="B26" s="87" t="str">
        <x:v>How do I raise a Speaking Up concern?</x:v>
      </x:c>
      <x:c r="C26" s="87" t="str">
        <x:v>Use the official Speaking Up channel at speakingup@oman-arabbank.com. Describe the concern and relevant facts clearly. Speaking Up is an escalation route and does not replace specialist reporting procedures.</x:v>
      </x:c>
      <x:c r="D26" s="96" t="b">
        <x:v>1</x:v>
      </x:c>
      <x:c r="E26" s="98" t="n">
        <x:v>25</x:v>
      </x:c>
      <x:c r="F26" s="92" t="str">
        <x:v>Code of Conduct (2023), Section 12</x:v>
      </x:c>
      <x:c r="G26"/>
      <x:c r="H26"/>
    </x:row>
    <x:row r="27" ht="59" customHeight="1">
      <x:c r="A27" s="87" t="str">
        <x:v>Speaking Up</x:v>
      </x:c>
      <x:c r="B27" s="87" t="str">
        <x:v>Should I investigate suspected misconduct myself?</x:v>
      </x:c>
      <x:c r="C27" s="87" t="str">
        <x:v>Do not conduct your own fraud investigation or interview people to test a suspicion. Report the concern through the appropriate channel and allow the authorised team to assess and investigate it.</x:v>
      </x:c>
      <x:c r="D27" s="96" t="b">
        <x:v>1</x:v>
      </x:c>
      <x:c r="E27" s="98" t="n">
        <x:v>26</x:v>
      </x:c>
      <x:c r="F27" s="92" t="str">
        <x:v>Code of Conduct (2023), Section 4.E</x:v>
      </x:c>
      <x:c r="G27"/>
      <x:c r="H27"/>
    </x:row>
    <x:row r="28" ht="59" customHeight="1">
      <x:c r="A28" s="87" t="str">
        <x:v>Speaking Up</x:v>
      </x:c>
      <x:c r="B28" s="87" t="str">
        <x:v>Must I prove the concern before reporting it?</x:v>
      </x:c>
      <x:c r="C28" s="87" t="str">
        <x:v>Raise a genuine concern when you have reasonable grounds. Share relevant supporting evidence already available to you, where appropriate. Do not delay reporting to conduct your own investigation.</x:v>
      </x:c>
      <x:c r="D28" s="96" t="b">
        <x:v>1</x:v>
      </x:c>
      <x:c r="E28" s="98" t="n">
        <x:v>27</x:v>
      </x:c>
      <x:c r="F28" s="92" t="str">
        <x:v>Code of Conduct (2023), Sections 4.E and 12</x:v>
      </x:c>
      <x:c r="G28"/>
      <x:c r="H28"/>
    </x:row>
    <x:row r="29" ht="59" customHeight="1">
      <x:c r="A29" s="87" t="str">
        <x:v>Confidentiality</x:v>
      </x:c>
      <x:c r="B29" s="87" t="str">
        <x:v>Is a Speaking Up email anonymous?</x:v>
      </x:c>
      <x:c r="C29" s="87" t="str">
        <x:v>Sending an email does not by itself make your identity anonymous. Reports and investigation details are shared on a need-to-know basis, and anonymity cannot be guaranteed if legal proceedings follow.</x:v>
      </x:c>
      <x:c r="D29" s="96" t="b">
        <x:v>1</x:v>
      </x:c>
      <x:c r="E29" s="98" t="n">
        <x:v>28</x:v>
      </x:c>
      <x:c r="F29" s="92" t="str">
        <x:v>Code of Conduct (2023), Section 12</x:v>
      </x:c>
      <x:c r="G29"/>
      <x:c r="H29"/>
    </x:row>
    <x:row r="30" ht="59" customHeight="1">
      <x:c r="A30" s="87" t="str">
        <x:v>Speaking Up</x:v>
      </x:c>
      <x:c r="B30" s="87" t="str">
        <x:v>What if a concern raised in good faith is not confirmed?</x:v>
      </x:c>
      <x:c r="C30" s="87" t="str">
        <x:v>A genuine concern is different from a deliberately false or malicious allegation. The Code protects good-faith reporting and states that a person is not punished for a genuine fraud suspicion that is not substantiated.</x:v>
      </x:c>
      <x:c r="D30" s="96" t="b">
        <x:v>1</x:v>
      </x:c>
      <x:c r="E30" s="98" t="n">
        <x:v>29</x:v>
      </x:c>
      <x:c r="F30" s="92" t="str">
        <x:v>Code of Conduct (2023), Sections 4.E and 12</x:v>
      </x:c>
      <x:c r="G30"/>
      <x:c r="H30"/>
    </x:row>
    <x:row r="31" ht="44" customHeight="1">
      <x:c r="A31" s="87" t="str">
        <x:v>Speaking Up</x:v>
      </x:c>
      <x:c r="B31" s="87" t="str">
        <x:v>Can anyone retaliate against a person who raises a concern?</x:v>
      </x:c>
      <x:c r="C31" s="87" t="str">
        <x:v>Retaliation, obstructing a report and improperly revealing a reporter's identity are not acceptable. Raise a concern about such conduct through the official channel.</x:v>
      </x:c>
      <x:c r="D31" s="96" t="b">
        <x:v>1</x:v>
      </x:c>
      <x:c r="E31" s="98" t="n">
        <x:v>30</x:v>
      </x:c>
      <x:c r="F31" s="92" t="str">
        <x:v>Code of Conduct (2023), Section 12</x:v>
      </x:c>
      <x:c r="G31"/>
      <x:c r="H31"/>
    </x:row>
    <x:row r="32" ht="59" customHeight="1">
      <x:c r="A32" s="87" t="str">
        <x:v>Reporting Channels</x:v>
      </x:c>
      <x:c r="B32" s="87" t="str">
        <x:v>Where should suspected money laundering or a suspicious customer transaction be reported?</x:v>
      </x:c>
      <x:c r="C32" s="87" t="str">
        <x:v>Follow the Bank's suspicious transaction reporting procedures and report to the Chief Compliance Officer. The Code lists aml@oman-arabbank.com for suspected money laundering. Do not put transaction details in a public challenge form or a suggestion box.</x:v>
      </x:c>
      <x:c r="D32" s="96" t="b">
        <x:v>1</x:v>
      </x:c>
      <x:c r="E32" s="98" t="n">
        <x:v>31</x:v>
      </x:c>
      <x:c r="F32" s="92" t="str">
        <x:v>Code of Conduct (2023), Sections 4.A and 12</x:v>
      </x:c>
      <x:c r="G32"/>
      <x:c r="H32"/>
    </x:row>
    <x:row r="33" ht="74" customHeight="1">
      <x:c r="A33" s="87" t="str">
        <x:v>Reporting Channels</x:v>
      </x:c>
      <x:c r="B33" s="87" t="str">
        <x:v>Where should I raise a work-related grievance?</x:v>
      </x:c>
      <x:c r="C33" s="87" t="str">
        <x:v>Follow the employee grievance process, including the steps with your line manager or relevant division or department described in the Code. The grievance mailbox is employeerelations@oman-arabbank.com. This process is separate from the Speaking Up escalation route.</x:v>
      </x:c>
      <x:c r="D33" s="96" t="b">
        <x:v>1</x:v>
      </x:c>
      <x:c r="E33" s="98" t="n">
        <x:v>32</x:v>
      </x:c>
      <x:c r="F33" s="92" t="str">
        <x:v>Code of Conduct (2023), Section 11</x:v>
      </x:c>
      <x:c r="G33"/>
      <x:c r="H33"/>
    </x:row>
    <x:row r="34" ht="59" customHeight="1">
      <x:c r="A34" s="87" t="str">
        <x:v>Information Security</x:v>
      </x:c>
      <x:c r="B34" s="87" t="str">
        <x:v>Where should I report a suspected information security incident?</x:v>
      </x:c>
      <x:c r="C34" s="87" t="str">
        <x:v>Report a suspected incident affecting the confidentiality, integrity or availability of Bank systems or information to the Information Security Division at infosec@oman-arabbank.com, following the applicable incident procedures.</x:v>
      </x:c>
      <x:c r="D34" s="96" t="b">
        <x:v>1</x:v>
      </x:c>
      <x:c r="E34" s="98" t="n">
        <x:v>33</x:v>
      </x:c>
      <x:c r="F34" s="92" t="str">
        <x:v>Code of Conduct (2023), Section 6</x:v>
      </x:c>
      <x:c r="G34"/>
      <x:c r="H34"/>
    </x:row>
    <x:row r="35" ht="59" customHeight="1">
      <x:c r="A35" s="87" t="str">
        <x:v>Conflicts of Interest</x:v>
      </x:c>
      <x:c r="B35" s="87" t="str">
        <x:v>What is a conflict of interest?</x:v>
      </x:c>
      <x:c r="C35" s="87" t="str">
        <x:v>A conflict can arise when a personal interest or relationship could affect your professional judgement or the Bank's interests. Be transparent about relevant interests involving yourself or related parties and follow the declaration process.</x:v>
      </x:c>
      <x:c r="D35" s="96" t="b">
        <x:v>1</x:v>
      </x:c>
      <x:c r="E35" s="98" t="n">
        <x:v>34</x:v>
      </x:c>
      <x:c r="F35" s="92" t="str">
        <x:v>Code of Conduct (2023), Section 5.A</x:v>
      </x:c>
      <x:c r="G35"/>
      <x:c r="H35"/>
    </x:row>
    <x:row r="36" ht="44" customHeight="1">
      <x:c r="A36" s="87" t="str">
        <x:v>Conflicts of Interest</x:v>
      </x:c>
      <x:c r="B36" s="87" t="str">
        <x:v>Is an annual conflict declaration enough if my circumstances change?</x:v>
      </x:c>
      <x:c r="C36" s="87" t="str">
        <x:v>Complete the annual declaration and inform HR immediately when a conflict arises or relevant circumstances change. Do not wait for the next annual declaration.</x:v>
      </x:c>
      <x:c r="D36" s="96" t="b">
        <x:v>1</x:v>
      </x:c>
      <x:c r="E36" s="98" t="n">
        <x:v>35</x:v>
      </x:c>
      <x:c r="F36" s="92" t="str">
        <x:v>Code of Conduct (2023), Section 5.A</x:v>
      </x:c>
      <x:c r="G36"/>
      <x:c r="H36"/>
    </x:row>
    <x:row r="37" ht="59" customHeight="1">
      <x:c r="A37" s="87" t="str">
        <x:v>Outside Work</x:v>
      </x:c>
      <x:c r="B37" s="87" t="str">
        <x:v>Can I take outside work if it is unpaid?</x:v>
      </x:c>
      <x:c r="C37" s="87" t="str">
        <x:v>Outside employment or trade generally requires prior written approval from the CEO, even if unpaid. The Code describes limited exceptions for certain honorary or occasional activities that do not interfere with Bank duties. Check the full requirements before starting.</x:v>
      </x:c>
      <x:c r="D37" s="96" t="b">
        <x:v>1</x:v>
      </x:c>
      <x:c r="E37" s="98" t="n">
        <x:v>36</x:v>
      </x:c>
      <x:c r="F37" s="92" t="str">
        <x:v>Code of Conduct (2023), Section 5.B</x:v>
      </x:c>
      <x:c r="G37"/>
      <x:c r="H37"/>
    </x:row>
    <x:row r="38" ht="74" customHeight="1">
      <x:c r="A38" s="87" t="str">
        <x:v>Gifts</x:v>
      </x:c>
      <x:c r="B38" s="87" t="str">
        <x:v>Can I automatically accept any gift worth OMR 25 or less?</x:v>
      </x:c>
      <x:c r="C38" s="87" t="str">
        <x:v>No. The Code describes a limited exception for unsolicited gifts of nominal value not exceeding OMR 25, such as dates or confectionery that can be shared with colleagues at work. This is not blanket approval for any gift below that amount. Follow the reporting requirements and the Anti-Bribery and Anti-Corruption Policy.</x:v>
      </x:c>
      <x:c r="D38" s="96" t="b">
        <x:v>1</x:v>
      </x:c>
      <x:c r="E38" s="98" t="n">
        <x:v>37</x:v>
      </x:c>
      <x:c r="F38" s="92" t="str">
        <x:v>Code of Conduct (2023), Section 5.C</x:v>
      </x:c>
      <x:c r="G38"/>
      <x:c r="H38"/>
    </x:row>
    <x:row r="39" ht="44" customHeight="1">
      <x:c r="A39" s="87" t="str">
        <x:v>Gifts</x:v>
      </x:c>
      <x:c r="B39" s="87" t="str">
        <x:v>What if a customer insists on giving me a gift?</x:v>
      </x:c>
      <x:c r="C39" s="87" t="str">
        <x:v>Inform your Group or Division Head and hand the gift to the Head of HRD, as required by the Code. Do not decide on personal acceptance simply because the customer insists.</x:v>
      </x:c>
      <x:c r="D39" s="96" t="b">
        <x:v>1</x:v>
      </x:c>
      <x:c r="E39" s="98" t="n">
        <x:v>38</x:v>
      </x:c>
      <x:c r="F39" s="92" t="str">
        <x:v>Code of Conduct (2023), Section 5.C</x:v>
      </x:c>
      <x:c r="G39"/>
      <x:c r="H39"/>
    </x:row>
    <x:row r="40" ht="44" customHeight="1">
      <x:c r="A40" s="87" t="str">
        <x:v>Gifts</x:v>
      </x:c>
      <x:c r="B40" s="87" t="str">
        <x:v>Do the gift rules apply to my family?</x:v>
      </x:c>
      <x:c r="C40" s="87" t="str">
        <x:v>Yes. The rules also cover gifts to family members arising from relationships linked to your Bank duties. A family connection does not remove the disclosure or acceptance requirements.</x:v>
      </x:c>
      <x:c r="D40" s="96" t="b">
        <x:v>1</x:v>
      </x:c>
      <x:c r="E40" s="98" t="n">
        <x:v>39</x:v>
      </x:c>
      <x:c r="F40" s="92" t="str">
        <x:v>Code of Conduct (2023), Section 5.C</x:v>
      </x:c>
      <x:c r="G40"/>
      <x:c r="H40"/>
    </x:row>
    <x:row r="41" ht="59" customHeight="1">
      <x:c r="A41" s="87" t="str">
        <x:v>Gifts</x:v>
      </x:c>
      <x:c r="B41" s="87" t="str">
        <x:v>Can I accept a small cash gift or a luxury item from a customer?</x:v>
      </x:c>
      <x:c r="C41" s="87" t="str">
        <x:v>The Code prohibits accepting cash and valuable or luxury gift items. A gift that could influence your decision is also prohibited. Follow the official reporting and escalation process.</x:v>
      </x:c>
      <x:c r="D41" s="96" t="b">
        <x:v>1</x:v>
      </x:c>
      <x:c r="E41" s="98" t="n">
        <x:v>40</x:v>
      </x:c>
      <x:c r="F41" s="92" t="str">
        <x:v>Code of Conduct (2023), Section 5.C</x:v>
      </x:c>
      <x:c r="G41"/>
      <x:c r="H41"/>
    </x:row>
    <x:row r="42" ht="59" customHeight="1">
      <x:c r="A42" s="87" t="str">
        <x:v>Confidentiality</x:v>
      </x:c>
      <x:c r="B42" s="87" t="str">
        <x:v>Can I share confidential information with any colleague?</x:v>
      </x:c>
      <x:c r="C42" s="87" t="str">
        <x:v>A colleague's employment at the Bank does not automatically authorise access to every record. Share information only for an authorised purpose and with people who are entitled to receive it, using approved procedures.</x:v>
      </x:c>
      <x:c r="D42" s="96" t="b">
        <x:v>1</x:v>
      </x:c>
      <x:c r="E42" s="98" t="n">
        <x:v>41</x:v>
      </x:c>
      <x:c r="F42" s="92" t="str">
        <x:v>Code of Conduct (2023), Section 3.I</x:v>
      </x:c>
      <x:c r="G42"/>
      <x:c r="H42"/>
    </x:row>
    <x:row r="43" ht="44" customHeight="1">
      <x:c r="A43" s="87" t="str">
        <x:v>Records</x:v>
      </x:c>
      <x:c r="B43" s="87" t="str">
        <x:v>Can I change a record to make a result or approval look better?</x:v>
      </x:c>
      <x:c r="C43" s="87" t="str">
        <x:v>Records and reports must be accurate and transparent. Do not falsify, misrepresent or knowingly allow incorrect documentation. Follow the approved process for correcting an error.</x:v>
      </x:c>
      <x:c r="D43" s="96" t="b">
        <x:v>1</x:v>
      </x:c>
      <x:c r="E43" s="98" t="n">
        <x:v>42</x:v>
      </x:c>
      <x:c r="F43" s="92" t="str">
        <x:v>Code of Conduct (2023), Section 7</x:v>
      </x:c>
      <x:c r="G43"/>
      <x:c r="H43"/>
    </x:row>
    <x:row r="44" ht="59" customHeight="1">
      <x:c r="A44" s="87" t="str">
        <x:v>Communication</x:v>
      </x:c>
      <x:c r="B44" s="87" t="str">
        <x:v>Can I make public statements or share Bank information online?</x:v>
      </x:c>
      <x:c r="C44" s="87" t="str">
        <x:v>Follow the Bank's approval procedures for public statements, media requests and events. Do not publish unapproved Bank information or discuss Bank matters on social media outside the applicable policies and guidelines.</x:v>
      </x:c>
      <x:c r="D44" s="96" t="b">
        <x:v>1</x:v>
      </x:c>
      <x:c r="E44" s="98" t="n">
        <x:v>43</x:v>
      </x:c>
      <x:c r="F44" s="92" t="str">
        <x:v>Code of Conduct (2023), Sections 8 and 9</x:v>
      </x:c>
      <x:c r="G44"/>
      <x:c r="H44"/>
    </x:row>
    <x:row r="45" ht="59" customHeight="1">
      <x:c r="A45" s="87" t="str">
        <x:v>Integrity</x:v>
      </x:c>
      <x:c r="B45" s="87" t="str">
        <x:v>What should I do when I am unsure about an ethical decision?</x:v>
      </x:c>
      <x:c r="C45" s="87" t="str">
        <x:v>Pause and check the Code of Conduct and the relevant policy. Seek guidance from your manager or the appropriate specialist function before acting. Use the official reporting channel when the issue is a concern that should be raised.</x:v>
      </x:c>
      <x:c r="D45" s="96" t="b">
        <x:v>1</x:v>
      </x:c>
      <x:c r="E45" s="98" t="n">
        <x:v>44</x:v>
      </x:c>
      <x:c r="F45" s="92" t="str">
        <x:v>Code of Conduct (2023), Sections 1, 5 and 12</x:v>
      </x:c>
      <x:c r="G45"/>
      <x:c r="H45"/>
    </x:row>
    <x:row r="46" ht="59" customHeight="1">
      <x:c r="A46" s="87" t="str">
        <x:v>General</x:v>
      </x:c>
      <x:c r="B46" s="87" t="str">
        <x:v>Does this portal replace the Bank's approved policies?</x:v>
      </x:c>
      <x:c r="C46" s="87" t="str">
        <x:v>No. The portal provides awareness and navigation. Follow the current approved Code of Conduct and relevant policies. Ask the responsible function to clarify any difference or uncertainty before acting.</x:v>
      </x:c>
      <x:c r="D46" s="96" t="b">
        <x:v>1</x:v>
      </x:c>
      <x:c r="E46" s="98" t="n">
        <x:v>45</x:v>
      </x:c>
      <x:c r="F46" s="92" t="str">
        <x:v>Code of Conduct (2023), Section 1</x:v>
      </x:c>
    </x:row>
    <x:row r="47" ht="44" customHeight="1">
      <x:c r="A47" s="87" t="str">
        <x:v>General</x:v>
      </x:c>
      <x:c r="B47" s="87" t="str">
        <x:v>Who maintains Nazaha content and programme queries?</x:v>
      </x:c>
      <x:c r="C47" s="87" t="str">
        <x:v>Use the Nazaha Team page to find the team and the Suggest an Idea contact. Send ordinary portal or points questions to the Nazaha team, not through a confidential reporting case.</x:v>
      </x:c>
      <x:c r="D47" s="96" t="b">
        <x:v>1</x:v>
      </x:c>
      <x:c r="E47" s="98" t="n">
        <x:v>46</x:v>
      </x:c>
      <x:c r="F47" s="92" t="str">
        <x:v>Nazaha portal navigation</x:v>
      </x:c>
    </x:row>
    <x:row r="48" ht="44" customHeight="1">
      <x:c r="A48" s="87" t="str">
        <x:v>Code of Conduct</x:v>
      </x:c>
      <x:c r="B48" s="87" t="str">
        <x:v>Who is covered by the Code of Conduct?</x:v>
      </x:c>
      <x:c r="C48" s="87" t="str">
        <x:v>The Code applies to Board members and the Bank's employees, including managers, supervisors, temporary employees, interns and outsourced employees within its stated scope.</x:v>
      </x:c>
      <x:c r="D48" s="96" t="b">
        <x:v>1</x:v>
      </x:c>
      <x:c r="E48" s="98" t="n">
        <x:v>47</x:v>
      </x:c>
      <x:c r="F48" s="92" t="str">
        <x:v>Code of Conduct (2023), Section 1</x:v>
      </x:c>
    </x:row>
    <x:row r="49" ht="44" customHeight="1">
      <x:c r="A49" s="87" t="str">
        <x:v>Code of Conduct</x:v>
      </x:c>
      <x:c r="B49" s="87" t="str">
        <x:v>Can I send the Code of Conduct to someone outside the Bank?</x:v>
      </x:c>
      <x:c r="C49" s="87" t="str">
        <x:v>The supplied Code is marked for internal use. Do not pass it to, or discuss its contents with, an external party without the required formal written approval.</x:v>
      </x:c>
      <x:c r="D49" s="96" t="b">
        <x:v>1</x:v>
      </x:c>
      <x:c r="E49" s="98" t="n">
        <x:v>48</x:v>
      </x:c>
      <x:c r="F49" s="92" t="str">
        <x:v>Code of Conduct (2023), internal-use notice</x:v>
      </x:c>
    </x:row>
    <x:row r="50" ht="59" customHeight="1">
      <x:c r="A50" s="87" t="str">
        <x:v>Professional Conduct</x:v>
      </x:c>
      <x:c r="B50" s="87" t="str">
        <x:v>What should I do if a manager asks me to bypass a required control?</x:v>
      </x:c>
      <x:c r="C50" s="87" t="str">
        <x:v>Explain the control requirement and seek an approved way to complete the task. A request from a manager does not remove your responsibility to follow policy. Raise a genuine concern through the appropriate route if needed.</x:v>
      </x:c>
      <x:c r="D50" s="96" t="b">
        <x:v>1</x:v>
      </x:c>
      <x:c r="E50" s="98" t="n">
        <x:v>49</x:v>
      </x:c>
      <x:c r="F50" s="92" t="str">
        <x:v>Code of Conduct (2023), Sections 1 and 12</x:v>
      </x:c>
    </x:row>
    <x:row r="51" ht="59" customHeight="1">
      <x:c r="A51" s="87" t="str">
        <x:v>Professional Conduct</x:v>
      </x:c>
      <x:c r="B51" s="87" t="str">
        <x:v>How should I treat colleagues and customers during a disagreement?</x:v>
      </x:c>
      <x:c r="C51" s="87" t="str">
        <x:v>Remain professional, fair and respectful. Avoid threats, intimidation, insults or discriminatory behaviour. Seek appropriate guidance or use the official process if a concern cannot be resolved.</x:v>
      </x:c>
      <x:c r="D51" s="96" t="b">
        <x:v>1</x:v>
      </x:c>
      <x:c r="E51" s="98" t="n">
        <x:v>50</x:v>
      </x:c>
      <x:c r="F51" s="92" t="str">
        <x:v>Code of Conduct (2023), Sections 3.C and 4.J</x:v>
      </x:c>
    </x:row>
    <x:row r="52" ht="44" customHeight="1">
      <x:c r="A52" s="87" t="str">
        <x:v>Professional Conduct</x:v>
      </x:c>
      <x:c r="B52" s="87" t="str">
        <x:v>Can bullying or harassment through messages breach the Code?</x:v>
      </x:c>
      <x:c r="C52" s="87" t="str">
        <x:v>Yes. The Code covers harassment and discrimination regardless of whether the conduct occurs in person or through messages, email, telephone or other means.</x:v>
      </x:c>
      <x:c r="D52" s="96" t="b">
        <x:v>1</x:v>
      </x:c>
      <x:c r="E52" s="98" t="n">
        <x:v>51</x:v>
      </x:c>
      <x:c r="F52" s="92" t="str">
        <x:v>Code of Conduct (2023), Section 4.J</x:v>
      </x:c>
    </x:row>
    <x:row r="53" ht="44" customHeight="1">
      <x:c r="A53" s="87" t="str">
        <x:v>Customer Care</x:v>
      </x:c>
      <x:c r="B53" s="87" t="str">
        <x:v>What information should I provide when explaining a product or service?</x:v>
      </x:c>
      <x:c r="C53" s="87" t="str">
        <x:v>Give clear, accurate information within your role and authority. Avoid misleading statements, listen to customer needs and follow the approved product and service procedures.</x:v>
      </x:c>
      <x:c r="D53" s="96" t="b">
        <x:v>1</x:v>
      </x:c>
      <x:c r="E53" s="98" t="n">
        <x:v>52</x:v>
      </x:c>
      <x:c r="F53" s="92" t="str">
        <x:v>Code of Conduct (2023), Sections 3.B and 4.H</x:v>
      </x:c>
    </x:row>
    <x:row r="54" ht="44" customHeight="1">
      <x:c r="A54" s="87" t="str">
        <x:v>Customer Care</x:v>
      </x:c>
      <x:c r="B54" s="87" t="str">
        <x:v>Can I promise a customer an outcome outside my authority?</x:v>
      </x:c>
      <x:c r="C54" s="87" t="str">
        <x:v>Do not make unsupported promises or imply that an unapproved outcome is guaranteed. Explain what is confirmed and refer matters outside your authority to the appropriate person.</x:v>
      </x:c>
      <x:c r="D54" s="96" t="b">
        <x:v>1</x:v>
      </x:c>
      <x:c r="E54" s="98" t="n">
        <x:v>53</x:v>
      </x:c>
      <x:c r="F54" s="92" t="str">
        <x:v>Code of Conduct (2023), Sections 3.A and 4.H</x:v>
      </x:c>
    </x:row>
    <x:row r="55" ht="59" customHeight="1">
      <x:c r="A55" s="87" t="str">
        <x:v>Professional Conduct</x:v>
      </x:c>
      <x:c r="B55" s="87" t="str">
        <x:v>Can I borrow money from a customer or colleague?</x:v>
      </x:c>
      <x:c r="C55" s="87" t="str">
        <x:v>The supplied Code prohibits employees from borrowing from other employees or customers because of the impact on professional neutrality. Consult the appropriate internal function if you need clarification.</x:v>
      </x:c>
      <x:c r="D55" s="96" t="b">
        <x:v>1</x:v>
      </x:c>
      <x:c r="E55" s="98" t="n">
        <x:v>54</x:v>
      </x:c>
      <x:c r="F55" s="92" t="str">
        <x:v>Code of Conduct (2023), Section 3.E</x:v>
      </x:c>
    </x:row>
    <x:row r="56" ht="59" customHeight="1">
      <x:c r="A56" s="87" t="str">
        <x:v>Conflicts of Interest</x:v>
      </x:c>
      <x:c r="B56" s="87" t="str">
        <x:v>Does a potential conflict need attention before it affects a decision?</x:v>
      </x:c>
      <x:c r="C56" s="87" t="str">
        <x:v>Yes. Be transparent about an interest or relationship that could overlap with your duties or affect your judgement. Disclose it promptly and follow the Bank's instructions for handling the situation.</x:v>
      </x:c>
      <x:c r="D56" s="96" t="b">
        <x:v>1</x:v>
      </x:c>
      <x:c r="E56" s="98" t="n">
        <x:v>55</x:v>
      </x:c>
      <x:c r="F56" s="92" t="str">
        <x:v>Code of Conduct (2023), Section 5.A</x:v>
      </x:c>
    </x:row>
    <x:row r="57" ht="59" customHeight="1">
      <x:c r="A57" s="87" t="str">
        <x:v>Conflicts of Interest</x:v>
      </x:c>
      <x:c r="B57" s="87" t="str">
        <x:v>Can I approve a transaction involving myself, a relative or a friend?</x:v>
      </x:c>
      <x:c r="C57" s="87" t="str">
        <x:v>Do not take part in a conflicted decision without following the Bank's disclosure and handling requirements. Declare the relationship or interest and seek the appropriate direction before proceeding.</x:v>
      </x:c>
      <x:c r="D57" s="96" t="b">
        <x:v>1</x:v>
      </x:c>
      <x:c r="E57" s="98" t="n">
        <x:v>56</x:v>
      </x:c>
      <x:c r="F57" s="92" t="str">
        <x:v>Code of Conduct (2023), Section 5.A</x:v>
      </x:c>
    </x:row>
    <x:row r="58" ht="59" customHeight="1">
      <x:c r="A58" s="87" t="str">
        <x:v>Conflicts of Interest</x:v>
      </x:c>
      <x:c r="B58" s="87" t="str">
        <x:v>What if I discover a conflict after a process has started?</x:v>
      </x:c>
      <x:c r="C58" s="87" t="str">
        <x:v>Inform HR promptly, explain the relevant relationship or interest, and follow the instructions for handling your involvement. Do not hide the conflict because work has already begun.</x:v>
      </x:c>
      <x:c r="D58" s="96" t="b">
        <x:v>1</x:v>
      </x:c>
      <x:c r="E58" s="98" t="n">
        <x:v>57</x:v>
      </x:c>
      <x:c r="F58" s="92" t="str">
        <x:v>Code of Conduct (2023), Section 5.A</x:v>
      </x:c>
    </x:row>
    <x:row r="59" ht="44" customHeight="1">
      <x:c r="A59" s="87" t="str">
        <x:v>Outside Work</x:v>
      </x:c>
      <x:c r="B59" s="87" t="str">
        <x:v>Can I use the Bank's name or logo for a private business?</x:v>
      </x:c>
      <x:c r="C59" s="87" t="str">
        <x:v>Do not use the Bank's name or logo on private business materials or to obtain a personal benefit. Follow the Code's requirements on outside activities and conflicts of interest.</x:v>
      </x:c>
      <x:c r="D59" s="96" t="b">
        <x:v>1</x:v>
      </x:c>
      <x:c r="E59" s="98" t="n">
        <x:v>58</x:v>
      </x:c>
      <x:c r="F59" s="92" t="str">
        <x:v>Code of Conduct (2023), Section 5</x:v>
      </x:c>
    </x:row>
    <x:row r="60" ht="59" customHeight="1">
      <x:c r="A60" s="87" t="str">
        <x:v>Gifts</x:v>
      </x:c>
      <x:c r="B60" s="87" t="str">
        <x:v>Can I ask a supplier for a personal benefit in return for a business decision?</x:v>
      </x:c>
      <x:c r="C60" s="87" t="str">
        <x:v>No. Do not request or receive a benefit that could influence your duties, or arrange for someone else to request it for you. Raise any attempted improper arrangement through the official route.</x:v>
      </x:c>
      <x:c r="D60" s="96" t="b">
        <x:v>1</x:v>
      </x:c>
      <x:c r="E60" s="98" t="n">
        <x:v>59</x:v>
      </x:c>
      <x:c r="F60" s="92" t="str">
        <x:v>Code of Conduct (2023), Sections 4.D and 5.C</x:v>
      </x:c>
    </x:row>
    <x:row r="61" ht="59" customHeight="1">
      <x:c r="A61" s="87" t="str">
        <x:v>Gifts</x:v>
      </x:c>
      <x:c r="B61" s="87" t="str">
        <x:v>What should I do if I am unsure whether a gift is acceptable?</x:v>
      </x:c>
      <x:c r="C61" s="87" t="str">
        <x:v>Do not assume that value alone decides acceptance. Check the full gift requirements and the Anti-Bribery and Anti-Corruption Policy, and seek guidance through your Group or Division Head.</x:v>
      </x:c>
      <x:c r="D61" s="96" t="b">
        <x:v>1</x:v>
      </x:c>
      <x:c r="E61" s="98" t="n">
        <x:v>60</x:v>
      </x:c>
      <x:c r="F61" s="92" t="str">
        <x:v>Code of Conduct (2023), Section 5.C</x:v>
      </x:c>
    </x:row>
    <x:row r="62" ht="44" customHeight="1">
      <x:c r="A62" s="87" t="str">
        <x:v>Confidentiality</x:v>
      </x:c>
      <x:c r="B62" s="87" t="str">
        <x:v>Does confidentiality continue after I leave the Bank?</x:v>
      </x:c>
      <x:c r="C62" s="87" t="str">
        <x:v>Yes. Do not retain, exploit or disclose confidential Bank information after leaving. Return Bank documents and materials through the required exit process.</x:v>
      </x:c>
      <x:c r="D62" s="96" t="b">
        <x:v>1</x:v>
      </x:c>
      <x:c r="E62" s="98" t="n">
        <x:v>61</x:v>
      </x:c>
      <x:c r="F62" s="92" t="str">
        <x:v>Code of Conduct (2023), Section 3.I</x:v>
      </x:c>
    </x:row>
    <x:row r="63" ht="59" customHeight="1">
      <x:c r="A63" s="87" t="str">
        <x:v>Confidentiality</x:v>
      </x:c>
      <x:c r="B63" s="87" t="str">
        <x:v>Is employee or supplier information protected as well as customer information?</x:v>
      </x:c>
      <x:c r="C63" s="87" t="str">
        <x:v>Yes. The Code also addresses personal information about employees, outsourced employees, suppliers, shareholders and Board members. Protect it from unauthorised access, use, change or disclosure.</x:v>
      </x:c>
      <x:c r="D63" s="96" t="b">
        <x:v>1</x:v>
      </x:c>
      <x:c r="E63" s="98" t="n">
        <x:v>62</x:v>
      </x:c>
      <x:c r="F63" s="92" t="str">
        <x:v>Code of Conduct (2023), Section 4.C</x:v>
      </x:c>
    </x:row>
    <x:row r="64" ht="44" customHeight="1">
      <x:c r="A64" s="87" t="str">
        <x:v>Confidentiality</x:v>
      </x:c>
      <x:c r="B64" s="87" t="str">
        <x:v>Can I discuss a customer with a friend if the friend promises not to share it?</x:v>
      </x:c>
      <x:c r="C64" s="87" t="str">
        <x:v>No. A personal promise does not create an authorised business purpose. Protect customer information and use the required approval and information-sharing procedures.</x:v>
      </x:c>
      <x:c r="D64" s="96" t="b">
        <x:v>1</x:v>
      </x:c>
      <x:c r="E64" s="98" t="n">
        <x:v>63</x:v>
      </x:c>
      <x:c r="F64" s="92" t="str">
        <x:v>Code of Conduct (2023), Section 3.I</x:v>
      </x:c>
    </x:row>
    <x:row r="65" ht="59" customHeight="1">
      <x:c r="A65" s="87" t="str">
        <x:v>Confidentiality</x:v>
      </x:c>
      <x:c r="B65" s="87" t="str">
        <x:v>May I take customer data home to finish work faster?</x:v>
      </x:c>
      <x:c r="C65" s="87" t="str">
        <x:v>Do not move Bank or customer information to an unapproved location or service. Use only approved arrangements and obtain the required guidance before changing how information is handled.</x:v>
      </x:c>
      <x:c r="D65" s="96" t="b">
        <x:v>1</x:v>
      </x:c>
      <x:c r="E65" s="98" t="n">
        <x:v>64</x:v>
      </x:c>
      <x:c r="F65" s="92" t="str">
        <x:v>Code of Conduct (2023), Sections 3.I and 6</x:v>
      </x:c>
    </x:row>
    <x:row r="66" ht="44" customHeight="1">
      <x:c r="A66" s="87" t="str">
        <x:v>Information Security</x:v>
      </x:c>
      <x:c r="B66" s="87" t="str">
        <x:v>Can I share my work password or account to help a colleague?</x:v>
      </x:c>
      <x:c r="C66" s="87" t="str">
        <x:v>Protect your user identification and passwords under the Bank's Information Security requirements. Use an approved access or delegation process instead of sharing credentials.</x:v>
      </x:c>
      <x:c r="D66" s="96" t="b">
        <x:v>1</x:v>
      </x:c>
      <x:c r="E66" s="98" t="n">
        <x:v>65</x:v>
      </x:c>
      <x:c r="F66" s="92" t="str">
        <x:v>Code of Conduct (2023), Sections 5.E and 6</x:v>
      </x:c>
    </x:row>
    <x:row r="67" ht="59" customHeight="1">
      <x:c r="A67" s="87" t="str">
        <x:v>Information Security</x:v>
      </x:c>
      <x:c r="B67" s="87" t="str">
        <x:v>Can I paste Bank information into an external AI or translation service?</x:v>
      </x:c>
      <x:c r="C67" s="87" t="str">
        <x:v>Use only services approved for the information involved. Do not upload confidential or personal Bank information to an unapproved external tool. Seek Information Security guidance when approval or data handling is unclear.</x:v>
      </x:c>
      <x:c r="D67" s="96" t="b">
        <x:v>1</x:v>
      </x:c>
      <x:c r="E67" s="98" t="n">
        <x:v>66</x:v>
      </x:c>
      <x:c r="F67" s="92" t="str">
        <x:v>Code of Conduct (2023), Sections 3.I, 4.C and 6; practical application</x:v>
      </x:c>
    </x:row>
    <x:row r="68" ht="44" customHeight="1">
      <x:c r="A68" s="87" t="str">
        <x:v>Information Security</x:v>
      </x:c>
      <x:c r="B68" s="87" t="str">
        <x:v>What if I think I sent information to the wrong recipient?</x:v>
      </x:c>
      <x:c r="C68" s="87" t="str">
        <x:v>Report the suspected disclosure promptly through the Bank's approved incident process. Follow the responsible team's instructions and do not spread the information further.</x:v>
      </x:c>
      <x:c r="D68" s="96" t="b">
        <x:v>1</x:v>
      </x:c>
      <x:c r="E68" s="98" t="n">
        <x:v>67</x:v>
      </x:c>
      <x:c r="F68" s="92" t="str">
        <x:v>Code of Conduct (2023), Sections 4.B, 4.C and 6</x:v>
      </x:c>
    </x:row>
    <x:row r="69" ht="44" customHeight="1">
      <x:c r="A69" s="87" t="str">
        <x:v>Information Security</x:v>
      </x:c>
      <x:c r="B69" s="87" t="str">
        <x:v>Can I install software or use a cloud service without approval?</x:v>
      </x:c>
      <x:c r="C69" s="87" t="str">
        <x:v>Follow the Bank's approved-system and Information Security requirements. Do not assume that a free service or a convenient tool is approved for Bank work.</x:v>
      </x:c>
      <x:c r="D69" s="96" t="b">
        <x:v>1</x:v>
      </x:c>
      <x:c r="E69" s="98" t="n">
        <x:v>68</x:v>
      </x:c>
      <x:c r="F69" s="92" t="str">
        <x:v>Code of Conduct (2023), Sections 5.E and 6; practical application</x:v>
      </x:c>
    </x:row>
    <x:row r="70" ht="44" customHeight="1">
      <x:c r="A70" s="87" t="str">
        <x:v>Records</x:v>
      </x:c>
      <x:c r="B70" s="87" t="str">
        <x:v>What should I do when I find a mistake in a report?</x:v>
      </x:c>
      <x:c r="C70" s="87" t="str">
        <x:v>Notify the appropriate owner and correct it through the approved process so that records remain accurate and transparent. Do not alter other records to hide the original error.</x:v>
      </x:c>
      <x:c r="D70" s="96" t="b">
        <x:v>1</x:v>
      </x:c>
      <x:c r="E70" s="98" t="n">
        <x:v>69</x:v>
      </x:c>
      <x:c r="F70" s="92" t="str">
        <x:v>Code of Conduct (2023), Section 7</x:v>
      </x:c>
    </x:row>
    <x:row r="71" ht="44" customHeight="1">
      <x:c r="A71" s="87" t="str">
        <x:v>Records</x:v>
      </x:c>
      <x:c r="B71" s="87" t="str">
        <x:v>Can I remove information that an authorised auditor has requested?</x:v>
      </x:c>
      <x:c r="C71" s="87" t="str">
        <x:v>No. Cooperate with authorised audits and investigations. Do not conceal, alter or obstruct access to relevant information, and provide accurate explanations.</x:v>
      </x:c>
      <x:c r="D71" s="96" t="b">
        <x:v>1</x:v>
      </x:c>
      <x:c r="E71" s="98" t="n">
        <x:v>70</x:v>
      </x:c>
      <x:c r="F71" s="92" t="str">
        <x:v>Code of Conduct (2023), Section 10</x:v>
      </x:c>
    </x:row>
    <x:row r="72" ht="44" customHeight="1">
      <x:c r="A72" s="87" t="str">
        <x:v>Records</x:v>
      </x:c>
      <x:c r="B72" s="87" t="str">
        <x:v>What should I do if I become involved in an external investigation or audit?</x:v>
      </x:c>
      <x:c r="C72" s="87" t="str">
        <x:v>Inform your department manager and the Head of HRD without delay, as the Code requires. Follow the authorised process and do not disclose information outside your authority.</x:v>
      </x:c>
      <x:c r="D72" s="96" t="b">
        <x:v>1</x:v>
      </x:c>
      <x:c r="E72" s="98" t="n">
        <x:v>71</x:v>
      </x:c>
      <x:c r="F72" s="92" t="str">
        <x:v>Code of Conduct (2023), Section 10</x:v>
      </x:c>
    </x:row>
    <x:row r="73" ht="44" customHeight="1">
      <x:c r="A73" s="87" t="str">
        <x:v>Communication</x:v>
      </x:c>
      <x:c r="B73" s="87" t="str">
        <x:v>Who should handle a request from a journalist?</x:v>
      </x:c>
      <x:c r="C73" s="87" t="str">
        <x:v>Refer media enquiries to your department manager and Corporate Communication, and follow the required approval process. Do not speak on behalf of the Bank without authorisation.</x:v>
      </x:c>
      <x:c r="D73" s="96" t="b">
        <x:v>1</x:v>
      </x:c>
      <x:c r="E73" s="98" t="n">
        <x:v>72</x:v>
      </x:c>
      <x:c r="F73" s="92" t="str">
        <x:v>Code of Conduct (2023), Section 8</x:v>
      </x:c>
    </x:row>
    <x:row r="74" ht="44" customHeight="1">
      <x:c r="A74" s="87" t="str">
        <x:v>Communication</x:v>
      </x:c>
      <x:c r="B74" s="87" t="str">
        <x:v>Can I publish a positive Bank story on my personal social-media account?</x:v>
      </x:c>
      <x:c r="C74" s="87" t="str">
        <x:v>A positive message can still disclose unapproved Bank information. Follow the Bank's social-media and communication policies before posting Bank-related material.</x:v>
      </x:c>
      <x:c r="D74" s="96" t="b">
        <x:v>1</x:v>
      </x:c>
      <x:c r="E74" s="98" t="n">
        <x:v>73</x:v>
      </x:c>
      <x:c r="F74" s="92" t="str">
        <x:v>Code of Conduct (2023), Sections 8 and 9</x:v>
      </x:c>
    </x:row>
    <x:row r="75" ht="44" customHeight="1">
      <x:c r="A75" s="87" t="str">
        <x:v>Communication</x:v>
      </x:c>
      <x:c r="B75" s="87" t="str">
        <x:v>Do presentations or photographs at Bank-related events need approval?</x:v>
      </x:c>
      <x:c r="C75" s="87" t="str">
        <x:v>Follow the required Group or Division Head approval and other applicable procedures for Bank-related presentations, events, promotional activity and photographs of Bank facilities.</x:v>
      </x:c>
      <x:c r="D75" s="96" t="b">
        <x:v>1</x:v>
      </x:c>
      <x:c r="E75" s="98" t="n">
        <x:v>74</x:v>
      </x:c>
      <x:c r="F75" s="92" t="str">
        <x:v>Code of Conduct (2023), Section 8</x:v>
      </x:c>
    </x:row>
    <x:row r="76" ht="44" customHeight="1">
      <x:c r="A76" s="87" t="str">
        <x:v>Speaking Up</x:v>
      </x:c>
      <x:c r="B76" s="87" t="str">
        <x:v>Can I report something that happened in the past or may happen later?</x:v>
      </x:c>
      <x:c r="C76" s="87" t="str">
        <x:v>Yes. Speaking Up can concern past, current or potential wrongdoing where there are reasonable grounds for the concern. Explain the relevant facts clearly.</x:v>
      </x:c>
      <x:c r="D76" s="96" t="b">
        <x:v>1</x:v>
      </x:c>
      <x:c r="E76" s="98" t="n">
        <x:v>75</x:v>
      </x:c>
      <x:c r="F76" s="92" t="str">
        <x:v>Code of Conduct (2023), Section 12</x:v>
      </x:c>
    </x:row>
    <x:row r="77" ht="44" customHeight="1">
      <x:c r="A77" s="87" t="str">
        <x:v>Speaking Up</x:v>
      </x:c>
      <x:c r="B77" s="87" t="str">
        <x:v>Is Speaking Up limited to fraud or financial crime?</x:v>
      </x:c>
      <x:c r="C77" s="87" t="str">
        <x:v>No. It also covers concerns such as policy breaches, harassment, discrimination, misuse of Bank assets, abuse of authority and threats to safety within the Code's stated scope.</x:v>
      </x:c>
      <x:c r="D77" s="96" t="b">
        <x:v>1</x:v>
      </x:c>
      <x:c r="E77" s="98" t="n">
        <x:v>76</x:v>
      </x:c>
      <x:c r="F77" s="92" t="str">
        <x:v>Code of Conduct (2023), Section 12</x:v>
      </x:c>
    </x:row>
    <x:row r="78" ht="59" customHeight="1">
      <x:c r="A78" s="87" t="str">
        <x:v>Speaking Up</x:v>
      </x:c>
      <x:c r="B78" s="87" t="str">
        <x:v>What information should I include when raising a concern?</x:v>
      </x:c>
      <x:c r="C78" s="87" t="str">
        <x:v>Describe what happened, when and where it happened, and the relevant facts you know. Use the approved channel for any supporting information already available to you. Do not investigate independently or collect information beyond your authority.</x:v>
      </x:c>
      <x:c r="D78" s="96" t="b">
        <x:v>1</x:v>
      </x:c>
      <x:c r="E78" s="98" t="n">
        <x:v>77</x:v>
      </x:c>
      <x:c r="F78" s="92" t="str">
        <x:v>Code of Conduct (2023), Sections 4.E and 12; practical guidance</x:v>
      </x:c>
    </x:row>
    <x:row r="79" ht="59" customHeight="1">
      <x:c r="A79" s="87" t="str">
        <x:v>Speaking Up</x:v>
      </x:c>
      <x:c r="B79" s="87" t="str">
        <x:v>Does clicking the email link submit a report?</x:v>
      </x:c>
      <x:c r="C79" s="87" t="str">
        <x:v>No. It opens an email draft in your email application where supported. Review the recipient and content and send the message yourself. Clicking the link does not submit a report or make your email anonymous.</x:v>
      </x:c>
      <x:c r="D79" s="96" t="b">
        <x:v>1</x:v>
      </x:c>
      <x:c r="E79" s="98" t="n">
        <x:v>78</x:v>
      </x:c>
      <x:c r="F79" s="92" t="str">
        <x:v>Speaking Up page behaviour</x:v>
      </x:c>
    </x:row>
    <x:row r="80" ht="44" customHeight="1">
      <x:c r="A80" s="87" t="str">
        <x:v>Speaking Up</x:v>
      </x:c>
      <x:c r="B80" s="87" t="str">
        <x:v>Can I use Suggest an Idea or a challenge form for a confidential concern?</x:v>
      </x:c>
      <x:c r="C80" s="87" t="str">
        <x:v>No. Those routes are for general ideas or learning responses. Use the official Speaking Up channel or the appropriate specialist process for a confidential concern.</x:v>
      </x:c>
      <x:c r="D80" s="96" t="b">
        <x:v>1</x:v>
      </x:c>
      <x:c r="E80" s="98" t="n">
        <x:v>79</x:v>
      </x:c>
      <x:c r="F80" s="92" t="str">
        <x:v>Nazaha portal navigation; Code of Conduct (2023), Section 12</x:v>
      </x:c>
    </x:row>
    <x:row r="81" ht="44" customHeight="1">
      <x:c r="A81" s="87" t="str">
        <x:v>Speaking Up</x:v>
      </x:c>
      <x:c r="B81" s="87" t="str">
        <x:v>Will everyone be able to read a report or investigation details?</x:v>
      </x:c>
      <x:c r="C81" s="87" t="str">
        <x:v>Reports and investigation details are handled on a need-to-know basis. Do not circulate case information or identify a reporter to unauthorised people. Do not assume absolute anonymity.</x:v>
      </x:c>
      <x:c r="D81" s="96" t="b">
        <x:v>1</x:v>
      </x:c>
      <x:c r="E81" s="98" t="n">
        <x:v>80</x:v>
      </x:c>
      <x:c r="F81" s="92" t="str">
        <x:v>Code of Conduct (2023), Section 12</x:v>
      </x:c>
    </x:row>
    <x:row r="82" ht="59" customHeight="1">
      <x:c r="A82" s="87" t="str">
        <x:v>Speaking Up</x:v>
      </x:c>
      <x:c r="B82" s="87" t="str">
        <x:v>What happens after a concern is raised?</x:v>
      </x:c>
      <x:c r="C82" s="87" t="str">
        <x:v>The concern is reviewed, logged and, where appropriate, investigated by the relevant function. The Code provides for acknowledgement and feedback where possible. The portal does not promise a fixed resolution date.</x:v>
      </x:c>
      <x:c r="D82" s="96" t="b">
        <x:v>1</x:v>
      </x:c>
      <x:c r="E82" s="98" t="n">
        <x:v>81</x:v>
      </x:c>
      <x:c r="F82" s="92" t="str">
        <x:v>Code of Conduct (2023), Section 12</x:v>
      </x:c>
    </x:row>
    <x:row r="83" ht="44" customHeight="1">
      <x:c r="A83" s="87" t="str">
        <x:v>Speaking Up</x:v>
      </x:c>
      <x:c r="B83" s="87" t="str">
        <x:v>Can a deliberately false allegation be treated as good-faith reporting?</x:v>
      </x:c>
      <x:c r="C83" s="87" t="str">
        <x:v>No. A genuine concern that is not confirmed is different from a deliberately false or malicious allegation. Report honestly and distinguish facts from assumptions.</x:v>
      </x:c>
      <x:c r="D83" s="96" t="b">
        <x:v>1</x:v>
      </x:c>
      <x:c r="E83" s="98" t="n">
        <x:v>82</x:v>
      </x:c>
      <x:c r="F83" s="92" t="str">
        <x:v>Code of Conduct (2023), Sections 4.E and 12</x:v>
      </x:c>
    </x:row>
    <x:row r="84" ht="59" customHeight="1">
      <x:c r="A84" s="87" t="str">
        <x:v>Nazaha Minute</x:v>
      </x:c>
      <x:c r="B84" s="87" t="str">
        <x:v>Are there four rounds even in a month with five weeks?</x:v>
      </x:c>
      <x:c r="C84" s="87" t="str">
        <x:v>The current Nazaha Minute format provides four scored rounds per month. Check the published dates for each round; do not assume an extra round is available because the month has a fifth week.</x:v>
      </x:c>
      <x:c r="D84" s="96" t="b">
        <x:v>1</x:v>
      </x:c>
      <x:c r="E84" s="98" t="n">
        <x:v>83</x:v>
      </x:c>
      <x:c r="F84" s="92" t="str">
        <x:v>Nazaha programme point rules</x:v>
      </x:c>
    </x:row>
    <x:row r="85" ht="59" customHeight="1">
      <x:c r="A85" s="87" t="str">
        <x:v>Nazaha Minute</x:v>
      </x:c>
      <x:c r="B85" s="87" t="str">
        <x:v>Can I earn extra points by submitting after the closing time?</x:v>
      </x:c>
      <x:c r="C85" s="87" t="str">
        <x:v>No. An eligible response must be submitted within the published window. Opening a page before closing does not reserve an entry after the deadline. Contact the team about a technical problem without assuming credit is guaranteed.</x:v>
      </x:c>
      <x:c r="D85" s="96" t="b">
        <x:v>1</x:v>
      </x:c>
      <x:c r="E85" s="98" t="n">
        <x:v>84</x:v>
      </x:c>
      <x:c r="F85" s="92" t="str">
        <x:v>Nazaha participation model</x:v>
      </x:c>
    </x:row>
    <x:row r="86" ht="59" customHeight="1">
      <x:c r="A86" s="87" t="str">
        <x:v>Nazaha Minute</x:v>
      </x:c>
      <x:c r="B86" s="87" t="str">
        <x:v>How much time should I set aside for a round?</x:v>
      </x:c>
      <x:c r="C86" s="87" t="str">
        <x:v>Each round is intended to be a short learning activity. Read the scenario and choices carefully. The published form may provide further instructions; there is no promise that every round takes exactly one minute.</x:v>
      </x:c>
      <x:c r="D86" s="96" t="b">
        <x:v>1</x:v>
      </x:c>
      <x:c r="E86" s="98" t="n">
        <x:v>85</x:v>
      </x:c>
      <x:c r="F86" s="92" t="str">
        <x:v>Nazaha Minute format</x:v>
      </x:c>
    </x:row>
    <x:row r="87" ht="44" customHeight="1">
      <x:c r="A87" s="87" t="str">
        <x:v>Points</x:v>
      </x:c>
      <x:c r="B87" s="87" t="str">
        <x:v>How many points does a knowledge activity earn?</x:v>
      </x:c>
      <x:c r="C87" s="87" t="str">
        <x:f>"An approved knowledge activity earns "&amp;'Settings'!$B$35&amp;" points, with up to "&amp;'Settings'!$B$40&amp;" credited activity per calendar quarter. It must be separate from Nazaha Minute."</x:f>
        <x:v>An approved knowledge activity earns 20 points, with up to 1 credited activity per calendar quarter. It must be separate from Nazaha Minute.</x:v>
      </x:c>
      <x:c r="D87" s="96" t="b">
        <x:v>1</x:v>
      </x:c>
      <x:c r="E87" s="98" t="n">
        <x:v>86</x:v>
      </x:c>
      <x:c r="F87" s="92" t="str">
        <x:v>Nazaha programme point rules</x:v>
      </x:c>
    </x:row>
    <x:row r="88" ht="44" customHeight="1">
      <x:c r="A88" s="87" t="str">
        <x:v>Points</x:v>
      </x:c>
      <x:c r="B88" s="87" t="str">
        <x:v>How many points does an eligible initiative earn?</x:v>
      </x:c>
      <x:c r="C88" s="87" t="str">
        <x:f>"An eligible, verified initiative earns "&amp;'Settings'!$B$36&amp;" points. Up to "&amp;'Settings'!$B$41&amp;" distinct initiatives can be credited per calendar quarter. Submission alone does not confirm approval or award points."</x:f>
        <x:v>An eligible, verified initiative earns 30 points. Up to 2 distinct initiatives can be credited per calendar quarter. Submission alone does not confirm approval or award points.</x:v>
      </x:c>
      <x:c r="D88" s="96" t="b">
        <x:v>1</x:v>
      </x:c>
      <x:c r="E88" s="98" t="n">
        <x:v>87</x:v>
      </x:c>
      <x:c r="F88" s="92" t="str">
        <x:v>Nazaha programme point rules</x:v>
      </x:c>
    </x:row>
    <x:row r="89" ht="44" customHeight="1">
      <x:c r="A89" s="87" t="str">
        <x:v>Points</x:v>
      </x:c>
      <x:c r="B89" s="87" t="str">
        <x:v>How many points does an ethics workshop or awareness session earn?</x:v>
      </x:c>
      <x:c r="C89" s="87" t="str">
        <x:f>"A verified eligible session earns "&amp;'Settings'!$B$37&amp;" points, with up to "&amp;'Settings'!$B$42&amp;" distinct sessions credited per calendar quarter. Attendance must be confirmed through the approved process."</x:f>
        <x:v>A verified eligible session earns 15 points, with up to 2 distinct sessions credited per calendar quarter. Attendance must be confirmed through the approved process.</x:v>
      </x:c>
      <x:c r="D89" s="96" t="b">
        <x:v>1</x:v>
      </x:c>
      <x:c r="E89" s="98" t="n">
        <x:v>88</x:v>
      </x:c>
      <x:c r="F89" s="92" t="str">
        <x:v>Nazaha programme point rules</x:v>
      </x:c>
    </x:row>
    <x:row r="90" ht="59" customHeight="1">
      <x:c r="A90" s="87" t="str">
        <x:v>Points</x:v>
      </x:c>
      <x:c r="B90" s="87" t="str">
        <x:v>How does line-manager recognition earn points?</x:v>
      </x:c>
      <x:c r="C90" s="87" t="str">
        <x:f>"An approved manager recognition earns "&amp;'Settings'!$B$38&amp;" points, with up to "&amp;'Settings'!$B$43&amp;" recognitions per calendar year. A consistent justification and evidence are required; an informal thank-you alone is not automatic credit."</x:f>
        <x:v>An approved manager recognition earns 40 points, with up to 2 recognitions per calendar year. A consistent justification and evidence are required; an informal thank-you alone is not automatic credit.</x:v>
      </x:c>
      <x:c r="D90" s="96" t="b">
        <x:v>1</x:v>
      </x:c>
      <x:c r="E90" s="98" t="n">
        <x:v>89</x:v>
      </x:c>
      <x:c r="F90" s="92" t="str">
        <x:v>Nazaha programme point rules</x:v>
      </x:c>
    </x:row>
    <x:row r="91" ht="59" customHeight="1">
      <x:c r="A91" s="87" t="str">
        <x:v>Points</x:v>
      </x:c>
      <x:c r="B91" s="87" t="str">
        <x:v>Who receives peer-nomination points?</x:v>
      </x:c>
      <x:c r="C91" s="87" t="str">
        <x:f>"The nominator receives "&amp;'Settings'!$B$39&amp;" points for an approved ethical-role-model nomination, with up to "&amp;'Settings'!$B$44&amp;" credited nomination per calendar month. A specific justification of up to 50 words is required. It does not automatically give points to the nominee."</x:f>
        <x:v>The nominator receives 10 points for an approved ethical-role-model nomination, with up to 1 credited nomination per calendar month. A specific justification of up to 50 words is required. It does not automatically give points to the nominee.</x:v>
      </x:c>
      <x:c r="D91" s="96" t="b">
        <x:v>1</x:v>
      </x:c>
      <x:c r="E91" s="98" t="n">
        <x:v>90</x:v>
      </x:c>
      <x:c r="F91" s="92" t="str">
        <x:v>Nazaha programme point rules</x:v>
      </x:c>
    </x:row>
    <x:row r="92" ht="44" customHeight="1">
      <x:c r="A92" s="87" t="str">
        <x:v>Points</x:v>
      </x:c>
      <x:c r="B92" s="87" t="str">
        <x:v>Can the same contribution earn points in two categories?</x:v>
      </x:c>
      <x:c r="C92" s="87" t="str">
        <x:v>No. Credit one eligible contribution once. Do not count a Nazaha Minute response again as training, or reuse the same approved contribution as a second category claim.</x:v>
      </x:c>
      <x:c r="D92" s="96" t="b">
        <x:v>1</x:v>
      </x:c>
      <x:c r="E92" s="98" t="n">
        <x:v>91</x:v>
      </x:c>
      <x:c r="F92" s="92" t="str">
        <x:v>Nazaha programme point rules</x:v>
      </x:c>
    </x:row>
    <x:row r="93" ht="44" customHeight="1">
      <x:c r="A93" s="87" t="str">
        <x:v>Recognition</x:v>
      </x:c>
      <x:c r="B93" s="87" t="str">
        <x:v>What is the minimum total for annual recognition consideration?</x:v>
      </x:c>
      <x:c r="C93" s="87" t="str">
        <x:f>"At least "&amp;'Settings'!$B$34&amp;" verified points earned within the calendar year are required. Exactly "&amp;'Settings'!$B$34&amp;" qualifies for consideration. This is an eligibility floor, not an automatic win."</x:f>
        <x:v>At least 300 verified points earned within the calendar year are required. Exactly 300 qualifies for consideration. This is an eligibility floor, not an automatic win.</x:v>
      </x:c>
      <x:c r="D93" s="96" t="b">
        <x:v>1</x:v>
      </x:c>
      <x:c r="E93" s="98" t="n">
        <x:v>92</x:v>
      </x:c>
      <x:c r="F93" s="92" t="str">
        <x:v>Nazaha programme point rules</x:v>
      </x:c>
    </x:row>
    <x:row r="94" ht="44" customHeight="1">
      <x:c r="A94" s="87" t="str">
        <x:v>Recognition</x:v>
      </x:c>
      <x:c r="B94" s="87" t="str">
        <x:v>Do I need the annual threshold to appear in monthly or quarterly results?</x:v>
      </x:c>
      <x:c r="C94" s="87" t="str">
        <x:v>No. The annual eligibility floor applies to annual consideration. Monthly and quarterly boards display their own verified published standings.</x:v>
      </x:c>
      <x:c r="D94" s="96" t="b">
        <x:v>1</x:v>
      </x:c>
      <x:c r="E94" s="98" t="n">
        <x:v>93</x:v>
      </x:c>
      <x:c r="F94" s="92" t="str">
        <x:v>Nazaha programme point rules</x:v>
      </x:c>
    </x:row>
    <x:row r="95" ht="59" customHeight="1">
      <x:c r="A95" s="87" t="str">
        <x:v>Recognition</x:v>
      </x:c>
      <x:c r="B95" s="87" t="str">
        <x:v>Which year does an activity belong to if approval is delayed?</x:v>
      </x:c>
      <x:c r="C95" s="87" t="str">
        <x:v>Use the eligible activity date under the programme rules, not a later publication date, when assigning its month, calendar quarter and year. The authorised team must verify the record and applicable limits.</x:v>
      </x:c>
      <x:c r="D95" s="96" t="b">
        <x:v>1</x:v>
      </x:c>
      <x:c r="E95" s="98" t="n">
        <x:v>94</x:v>
      </x:c>
      <x:c r="F95" s="92" t="str">
        <x:v>Nazaha programme point rules</x:v>
      </x:c>
    </x:row>
    <x:row r="96" ht="44" customHeight="1">
      <x:c r="A96" s="87" t="str">
        <x:v>Recognition</x:v>
      </x:c>
      <x:c r="B96" s="87" t="str">
        <x:v>Are points carried into the next calendar year for eligibility?</x:v>
      </x:c>
      <x:c r="C96" s="87" t="str">
        <x:v>No. Annual eligibility is measured separately for each 1 January to 31 December period. Historical results remain available in their original reporting period.</x:v>
      </x:c>
      <x:c r="D96" s="96" t="b">
        <x:v>1</x:v>
      </x:c>
      <x:c r="E96" s="98" t="n">
        <x:v>95</x:v>
      </x:c>
      <x:c r="F96" s="92" t="str">
        <x:v>Nazaha programme point rules</x:v>
      </x:c>
    </x:row>
    <x:row r="97" ht="59" customHeight="1">
      <x:c r="A97" s="87" t="str">
        <x:v>Support</x:v>
      </x:c>
      <x:c r="B97" s="87" t="str">
        <x:v>Does the points calculator show my real employee balance?</x:v>
      </x:c>
      <x:c r="C97" s="87" t="str">
        <x:v>No. It is an illustrative calculator. It does not identify you, submit an activity, save your selections as an official record or award points. Refer to verified published results for actual standings.</x:v>
      </x:c>
      <x:c r="D97" s="96" t="b">
        <x:v>1</x:v>
      </x:c>
      <x:c r="E97" s="98" t="n">
        <x:v>96</x:v>
      </x:c>
      <x:c r="F97" s="92" t="str">
        <x:v>Points &amp; Recognition page behaviour</x:v>
      </x:c>
    </x:row>
    <x:row r="98" ht="44" customHeight="1">
      <x:c r="A98" s="87" t="str">
        <x:v>Support</x:v>
      </x:c>
      <x:c r="B98" s="87" t="str">
        <x:v>Why do some names contain the word Sample?</x:v>
      </x:c>
      <x:c r="C98" s="87" t="str">
        <x:v>Those names and scores are fictional demonstration records, not Bank results. They show how the portal layout works and must be replaced with verified records before publication.</x:v>
      </x:c>
      <x:c r="D98" s="96" t="b">
        <x:v>1</x:v>
      </x:c>
      <x:c r="E98" s="98" t="n">
        <x:v>97</x:v>
      </x:c>
      <x:c r="F98" s="92" t="str">
        <x:v>Configuration sample-data notice</x:v>
      </x:c>
    </x:row>
    <x:row r="99" ht="59" customHeight="1">
      <x:c r="A99" s="87" t="str">
        <x:v>Support</x:v>
      </x:c>
      <x:c r="B99" s="87" t="str">
        <x:v>What should I do if a form or media link is unavailable?</x:v>
      </x:c>
      <x:c r="C99" s="87" t="str">
        <x:v>Use the existing portal navigation and contact the Nazaha team with the page, round or media title involved. Do not include confidential customer information or case details in a routine support message.</x:v>
      </x:c>
      <x:c r="D99" s="96" t="b">
        <x:v>1</x:v>
      </x:c>
      <x:c r="E99" s="98" t="n">
        <x:v>98</x:v>
      </x:c>
      <x:c r="F99" s="92" t="str">
        <x:v>Nazaha portal support</x:v>
      </x:c>
    </x:row>
    <x:row r="100" ht="59" customHeight="1">
      <x:c r="A100" s="87" t="str">
        <x:v>Support</x:v>
      </x:c>
      <x:c r="B100" s="87" t="str">
        <x:v>Do the Integrity Guide, videos or downloads record training completion?</x:v>
      </x:c>
      <x:c r="C100" s="87" t="str">
        <x:v>Not by themselves. The current pages provide practice and access to content. Opening or completing a practice activity does not automatically record an approved training completion or award points.</x:v>
      </x:c>
      <x:c r="D100" s="96" t="b">
        <x:v>1</x:v>
      </x:c>
      <x:c r="E100" s="98" t="n">
        <x:v>99</x:v>
      </x:c>
      <x:c r="F100" s="92" t="str">
        <x:v>Nazaha portal behaviour</x:v>
      </x:c>
    </x:row>
    <x:row r="101" ht="59" customHeight="1">
      <x:c r="A101" s="87" t="str">
        <x:v>Recognition</x:v>
      </x:c>
      <x:c r="B101" s="87" t="str">
        <x:v>How are participants with equal scores ranked?</x:v>
      </x:c>
      <x:c r="C101" s="87" t="str">
        <x:v>Use the published programme tie-handling rules and the ranks verified by the authorised team. The portal displays the published order; it does not establish a new tie-break rule or guarantee a rank based only on the score.</x:v>
      </x:c>
      <x:c r="D101" s="96" t="b">
        <x:v>1</x:v>
      </x:c>
      <x:c r="E101" s="98" t="n">
        <x:v>100</x:v>
      </x:c>
      <x:c r="F101" s="92" t="str">
        <x:v>Nazaha leaderboard publication model</x:v>
      </x:c>
    </x:row>
  </x:sheetData>
  <x:dataValidations count="2">
    <x:dataValidation type="list" errorStyle="stop" showErrorMessage="1" errorTitle="Check the value" error="Choose one of the listed values." sqref="D2:D101">
      <x:formula1>"TRUE,FALSE"</x:formula1>
    </x:dataValidation>
    <x:dataValidation type="whole" errorStyle="stop" operator="between" showErrorMessage="1" errorTitle="Check the number" error="Use a whole number between 1 and 100000." sqref="E2:E101">
      <x:formula1>1</x:formula1>
      <x:formula2>100000</x:formula2>
    </x:dataValidation>
  </x:dataValidations>
  <x:pageMargins left="0.7" right="0.7" top="0.75" bottom="0.75" header="0.3" footer="0.3"/>
  <x:tableParts count="1">
    <x:tablePart xmlns:r="http://schemas.openxmlformats.org/officeDocument/2006/relationships" r:id="R14a5a8bd53cd4a65"/>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customWidth="1"/>
    <x:col min="2" max="2" width="38" customWidth="1"/>
    <x:col min="3" max="3" width="14" customWidth="1"/>
    <x:col min="4" max="4" width="64.28515625" customWidth="1"/>
  </x:cols>
  <x:sheetData>
    <x:row r="1">
      <x:c r="A1" s="1" t="s">
        <x:v>0</x:v>
      </x:c>
      <x:c r="B1" s="1" t="s">
        <x:v>1</x:v>
      </x:c>
      <x:c r="C1" s="1" t="s">
        <x:v>2</x:v>
      </x:c>
      <x:c r="D1" s="1" t="s">
        <x:v>3</x:v>
      </x:c>
    </x:row>
    <x:row r="2">
      <x:c r="A2" t="s">
        <x:v>4</x:v>
      </x:c>
      <x:c r="B2" t="s">
        <x:v>5</x:v>
      </x:c>
      <x:c r="C2" s="5" t="s">
        <x:v>6</x:v>
      </x:c>
      <x:c r="D2" t="s">
        <x:v>7</x:v>
      </x:c>
    </x:row>
    <x:row r="3">
      <x:c r="A3" t="s">
        <x:v>8</x:v>
      </x:c>
      <x:c r="B3" t="s">
        <x:v>9</x:v>
      </x:c>
      <x:c r="C3" s="5">
        <x:v>1397</x:v>
      </x:c>
      <x:c r="D3" s="4" t="s">
        <x:v>10</x:v>
      </x:c>
    </x:row>
    <x:row r="4">
      <x:c r="A4" t="s">
        <x:v>8</x:v>
      </x:c>
      <x:c r="B4" t="s">
        <x:v>11</x:v>
      </x:c>
      <x:c r="C4" s="5" t="s">
        <x:v>12</x:v>
      </x:c>
      <x:c r="D4" s="4" t="s">
        <x:v>13</x:v>
      </x:c>
    </x:row>
    <x:row r="5">
      <x:c r="A5" t="s">
        <x:v>8</x:v>
      </x:c>
      <x:c r="B5" t="s">
        <x:v>14</x:v>
      </x:c>
      <x:c r="C5" s="5" t="s">
        <x:v>15</x:v>
      </x:c>
      <x:c r="D5" t="s">
        <x:v>16</x:v>
      </x:c>
    </x:row>
    <x:row r="6">
      <x:c r="A6" t="s">
        <x:v>8</x:v>
      </x:c>
      <x:c r="B6" t="s">
        <x:v>17</x:v>
      </x:c>
      <x:c r="C6" s="5" t="s">
        <x:v>18</x:v>
      </x:c>
      <x:c r="D6" t="s">
        <x:v>19</x:v>
      </x:c>
    </x:row>
    <x:row r="7">
      <x:c r="A7" t="s">
        <x:v>8</x:v>
      </x:c>
      <x:c r="B7" t="s">
        <x:v>20</x:v>
      </x:c>
      <x:c r="C7" s="5" t="s">
        <x:v>21</x:v>
      </x:c>
      <x:c r="D7" s="4" t="s">
        <x:v>22</x:v>
      </x:c>
    </x:row>
    <x:row r="8">
      <x:c r="A8" t="s">
        <x:v>8</x:v>
      </x:c>
      <x:c r="B8" t="s">
        <x:v>23</x:v>
      </x:c>
      <x:c r="C8" s="5" t="s">
        <x:v>24</x:v>
      </x:c>
      <x:c r="D8" s="4" t="s">
        <x:v>25</x:v>
      </x:c>
    </x:row>
  </x:sheetData>
  <x:hyperlinks>
    <x:hyperlink xmlns:r="http://schemas.openxmlformats.org/officeDocument/2006/relationships" ref="D3" r:id="R0614f05fe4ab44e4"/>
    <x:hyperlink xmlns:r="http://schemas.openxmlformats.org/officeDocument/2006/relationships" ref="D4" r:id="R6468d9ed1a134344"/>
    <x:hyperlink xmlns:r="http://schemas.openxmlformats.org/officeDocument/2006/relationships" ref="D7" r:id="R62d0956a069d4458"/>
    <x:hyperlink xmlns:r="http://schemas.openxmlformats.org/officeDocument/2006/relationships" ref="D8" r:id="R1352fd3d068f45c8"/>
  </x:hyperlinks>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0" hidden="0" customWidth="1"/>
    <x:col min="3" max="3" width="34" hidden="0" customWidth="1"/>
    <x:col min="4" max="4" width="18" hidden="0" customWidth="1"/>
    <x:col min="5" max="5" width="14" hidden="0" customWidth="1"/>
  </x:cols>
  <x:sheetData>
    <x:row r="1" ht="32" customHeight="1">
      <x:c r="A1" s="91" t="str">
        <x:v>BoardType</x:v>
      </x:c>
      <x:c r="B1" s="91" t="str">
        <x:v>Rank</x:v>
      </x:c>
      <x:c r="C1" s="91" t="str">
        <x:v>Name</x:v>
      </x:c>
      <x:c r="D1" s="91" t="str">
        <x:v>EmployeeID</x:v>
      </x:c>
      <x:c r="E1" s="91" t="str">
        <x:v>Points</x:v>
      </x:c>
    </x:row>
    <x:row r="2" ht="30" customHeight="1">
      <x:c r="A2" s="104" t="str">
        <x:v>Monthly</x:v>
      </x:c>
      <x:c r="B2" s="105" t="n">
        <x:v>1</x:v>
      </x:c>
      <x:c r="C2" s="104" t="str">
        <x:v>Salim Al Harthi (Sample)</x:v>
      </x:c>
      <x:c r="D2" s="106" t="str">
        <x:v>DEMO-001</x:v>
      </x:c>
      <x:c r="E2" s="105" t="n">
        <x:v>105</x:v>
      </x:c>
    </x:row>
    <x:row r="3" ht="30" customHeight="1">
      <x:c r="A3" s="104" t="str">
        <x:v>Monthly</x:v>
      </x:c>
      <x:c r="B3" s="105" t="n">
        <x:v>2</x:v>
      </x:c>
      <x:c r="C3" s="104" t="str">
        <x:v>Maha Al Said (Sample)</x:v>
      </x:c>
      <x:c r="D3" s="106" t="str">
        <x:v>DEMO-002</x:v>
      </x:c>
      <x:c r="E3" s="105" t="n">
        <x:v>100</x:v>
      </x:c>
    </x:row>
    <x:row r="4" ht="30" customHeight="1">
      <x:c r="A4" s="104" t="str">
        <x:v>Monthly</x:v>
      </x:c>
      <x:c r="B4" s="105" t="n">
        <x:v>3</x:v>
      </x:c>
      <x:c r="C4" s="104" t="str">
        <x:v>Khalid Al Rawahi (Sample)</x:v>
      </x:c>
      <x:c r="D4" s="106" t="str">
        <x:v>DEMO-003</x:v>
      </x:c>
      <x:c r="E4" s="105" t="n">
        <x:v>95</x:v>
      </x:c>
    </x:row>
    <x:row r="5" ht="30" customHeight="1">
      <x:c r="A5" s="104" t="str">
        <x:v>Monthly</x:v>
      </x:c>
      <x:c r="B5" s="105" t="n">
        <x:v>4</x:v>
      </x:c>
      <x:c r="C5" s="104" t="str">
        <x:v>Noor Al Kindi (Sample)</x:v>
      </x:c>
      <x:c r="D5" s="106" t="str">
        <x:v>DEMO-004</x:v>
      </x:c>
      <x:c r="E5" s="105" t="n">
        <x:v>90</x:v>
      </x:c>
    </x:row>
    <x:row r="6" ht="30" customHeight="1">
      <x:c r="A6" s="104" t="str">
        <x:v>Monthly</x:v>
      </x:c>
      <x:c r="B6" s="105" t="n">
        <x:v>5</x:v>
      </x:c>
      <x:c r="C6" s="104" t="str">
        <x:v>Hamza Al Maawali (Sample)</x:v>
      </x:c>
      <x:c r="D6" s="106" t="str">
        <x:v>DEMO-005</x:v>
      </x:c>
      <x:c r="E6" s="105" t="n">
        <x:v>85</x:v>
      </x:c>
    </x:row>
    <x:row r="7" ht="30" customHeight="1">
      <x:c r="A7" s="104" t="str">
        <x:v>Monthly</x:v>
      </x:c>
      <x:c r="B7" s="105" t="n">
        <x:v>6</x:v>
      </x:c>
      <x:c r="C7" s="104" t="str">
        <x:v>Sara Al Hinai (Sample)</x:v>
      </x:c>
      <x:c r="D7" s="106" t="str">
        <x:v>DEMO-006</x:v>
      </x:c>
      <x:c r="E7" s="105" t="n">
        <x:v>80</x:v>
      </x:c>
    </x:row>
    <x:row r="8" ht="30" customHeight="1">
      <x:c r="A8" s="104" t="str">
        <x:v>Monthly</x:v>
      </x:c>
      <x:c r="B8" s="105" t="n">
        <x:v>7</x:v>
      </x:c>
      <x:c r="C8" s="104" t="str">
        <x:v>Yousuf Al Jabri (Sample)</x:v>
      </x:c>
      <x:c r="D8" s="106" t="str">
        <x:v>DEMO-007</x:v>
      </x:c>
      <x:c r="E8" s="105" t="n">
        <x:v>75</x:v>
      </x:c>
    </x:row>
    <x:row r="9" ht="30" customHeight="1">
      <x:c r="A9" s="104" t="str">
        <x:v>Monthly</x:v>
      </x:c>
      <x:c r="B9" s="105" t="n">
        <x:v>8</x:v>
      </x:c>
      <x:c r="C9" s="104" t="str">
        <x:v>Maryam Al Abri (Sample)</x:v>
      </x:c>
      <x:c r="D9" s="106" t="str">
        <x:v>DEMO-008</x:v>
      </x:c>
      <x:c r="E9" s="105" t="n">
        <x:v>70</x:v>
      </x:c>
    </x:row>
    <x:row r="10" ht="30" customHeight="1">
      <x:c r="A10" s="104" t="str">
        <x:v>Monthly</x:v>
      </x:c>
      <x:c r="B10" s="105" t="n">
        <x:v>9</x:v>
      </x:c>
      <x:c r="C10" s="104" t="str">
        <x:v>Faisal Al Shukaili (Sample)</x:v>
      </x:c>
      <x:c r="D10" s="106" t="str">
        <x:v>DEMO-009</x:v>
      </x:c>
      <x:c r="E10" s="105" t="n">
        <x:v>65</x:v>
      </x:c>
    </x:row>
    <x:row r="11" ht="30" customHeight="1">
      <x:c r="A11" s="104" t="str">
        <x:v>Monthly</x:v>
      </x:c>
      <x:c r="B11" s="105" t="n">
        <x:v>10</x:v>
      </x:c>
      <x:c r="C11" s="104" t="str">
        <x:v>Hana Al Wahaibi (Sample)</x:v>
      </x:c>
      <x:c r="D11" s="106" t="str">
        <x:v>DEMO-010</x:v>
      </x:c>
      <x:c r="E11" s="105" t="n">
        <x:v>60</x:v>
      </x:c>
    </x:row>
    <x:row r="12" ht="30" customHeight="1">
      <x:c r="A12" s="104" t="str">
        <x:v>Quarterly</x:v>
      </x:c>
      <x:c r="B12" s="105" t="n">
        <x:v>1</x:v>
      </x:c>
      <x:c r="C12" s="104" t="str">
        <x:v>Salim Al Harthi (Sample)</x:v>
      </x:c>
      <x:c r="D12" s="106" t="str">
        <x:v>DEMO-001</x:v>
      </x:c>
      <x:c r="E12" s="105" t="n">
        <x:v>280</x:v>
      </x:c>
    </x:row>
    <x:row r="13" ht="30" customHeight="1">
      <x:c r="A13" s="104" t="str">
        <x:v>Quarterly</x:v>
      </x:c>
      <x:c r="B13" s="105" t="n">
        <x:v>2</x:v>
      </x:c>
      <x:c r="C13" s="104" t="str">
        <x:v>Maha Al Said (Sample)</x:v>
      </x:c>
      <x:c r="D13" s="106" t="str">
        <x:v>DEMO-002</x:v>
      </x:c>
      <x:c r="E13" s="105" t="n">
        <x:v>265</x:v>
      </x:c>
    </x:row>
    <x:row r="14" ht="30" customHeight="1">
      <x:c r="A14" s="104" t="str">
        <x:v>Quarterly</x:v>
      </x:c>
      <x:c r="B14" s="105" t="n">
        <x:v>3</x:v>
      </x:c>
      <x:c r="C14" s="104" t="str">
        <x:v>Khalid Al Rawahi (Sample)</x:v>
      </x:c>
      <x:c r="D14" s="106" t="str">
        <x:v>DEMO-003</x:v>
      </x:c>
      <x:c r="E14" s="105" t="n">
        <x:v>250</x:v>
      </x:c>
    </x:row>
    <x:row r="15" ht="30" customHeight="1">
      <x:c r="A15" s="104" t="str">
        <x:v>Quarterly</x:v>
      </x:c>
      <x:c r="B15" s="105" t="n">
        <x:v>4</x:v>
      </x:c>
      <x:c r="C15" s="104" t="str">
        <x:v>Noor Al Kindi (Sample)</x:v>
      </x:c>
      <x:c r="D15" s="106" t="str">
        <x:v>DEMO-004</x:v>
      </x:c>
      <x:c r="E15" s="105" t="n">
        <x:v>235</x:v>
      </x:c>
    </x:row>
    <x:row r="16" ht="30" customHeight="1">
      <x:c r="A16" s="104" t="str">
        <x:v>Quarterly</x:v>
      </x:c>
      <x:c r="B16" s="105" t="n">
        <x:v>5</x:v>
      </x:c>
      <x:c r="C16" s="104" t="str">
        <x:v>Hamza Al Maawali (Sample)</x:v>
      </x:c>
      <x:c r="D16" s="106" t="str">
        <x:v>DEMO-005</x:v>
      </x:c>
      <x:c r="E16" s="105" t="n">
        <x:v>220</x:v>
      </x:c>
    </x:row>
    <x:row r="17" ht="30" customHeight="1">
      <x:c r="A17" s="104" t="str">
        <x:v>Quarterly</x:v>
      </x:c>
      <x:c r="B17" s="105" t="n">
        <x:v>6</x:v>
      </x:c>
      <x:c r="C17" s="104" t="str">
        <x:v>Sara Al Hinai (Sample)</x:v>
      </x:c>
      <x:c r="D17" s="106" t="str">
        <x:v>DEMO-006</x:v>
      </x:c>
      <x:c r="E17" s="105" t="n">
        <x:v>205</x:v>
      </x:c>
    </x:row>
    <x:row r="18" ht="30" customHeight="1">
      <x:c r="A18" s="104" t="str">
        <x:v>Quarterly</x:v>
      </x:c>
      <x:c r="B18" s="105" t="n">
        <x:v>7</x:v>
      </x:c>
      <x:c r="C18" s="104" t="str">
        <x:v>Yousuf Al Jabri (Sample)</x:v>
      </x:c>
      <x:c r="D18" s="106" t="str">
        <x:v>DEMO-007</x:v>
      </x:c>
      <x:c r="E18" s="105" t="n">
        <x:v>190</x:v>
      </x:c>
    </x:row>
    <x:row r="19" ht="30" customHeight="1">
      <x:c r="A19" s="104" t="str">
        <x:v>Quarterly</x:v>
      </x:c>
      <x:c r="B19" s="105" t="n">
        <x:v>8</x:v>
      </x:c>
      <x:c r="C19" s="104" t="str">
        <x:v>Maryam Al Abri (Sample)</x:v>
      </x:c>
      <x:c r="D19" s="106" t="str">
        <x:v>DEMO-008</x:v>
      </x:c>
      <x:c r="E19" s="105" t="n">
        <x:v>175</x:v>
      </x:c>
    </x:row>
    <x:row r="20" ht="30" customHeight="1">
      <x:c r="A20" s="104" t="str">
        <x:v>Quarterly</x:v>
      </x:c>
      <x:c r="B20" s="105" t="n">
        <x:v>9</x:v>
      </x:c>
      <x:c r="C20" s="104" t="str">
        <x:v>Faisal Al Shukaili (Sample)</x:v>
      </x:c>
      <x:c r="D20" s="106" t="str">
        <x:v>DEMO-009</x:v>
      </x:c>
      <x:c r="E20" s="105" t="n">
        <x:v>160</x:v>
      </x:c>
    </x:row>
    <x:row r="21" ht="30" customHeight="1">
      <x:c r="A21" s="104" t="str">
        <x:v>Quarterly</x:v>
      </x:c>
      <x:c r="B21" s="105" t="n">
        <x:v>10</x:v>
      </x:c>
      <x:c r="C21" s="104" t="str">
        <x:v>Hana Al Wahaibi (Sample)</x:v>
      </x:c>
      <x:c r="D21" s="106" t="str">
        <x:v>DEMO-010</x:v>
      </x:c>
      <x:c r="E21" s="105" t="n">
        <x:v>145</x:v>
      </x:c>
    </x:row>
  </x:sheetData>
  <x:dataValidations count="3">
    <x:dataValidation type="list" errorStyle="stop" showErrorMessage="1" errorTitle="Check the value" error="Choose one of the listed values." sqref="A2:A21">
      <x:formula1>"Monthly,Quarterly"</x:formula1>
    </x:dataValidation>
    <x:dataValidation type="whole" errorStyle="stop" operator="between" showErrorMessage="1" errorTitle="Check the number" error="Use a whole number between 1 and 10." sqref="B2:B21">
      <x:formula1>1</x:formula1>
      <x:formula2>10</x:formula2>
    </x:dataValidation>
    <x:dataValidation type="whole" errorStyle="stop" operator="between" showErrorMessage="1" errorTitle="Check the number" error="Use a whole number between 0 and 100000." sqref="E2:E21">
      <x:formula1>0</x:formula1>
      <x:formula2>100000</x:formula2>
    </x:dataValidation>
  </x:dataValidations>
  <x:pageMargins left="0.7" right="0.7" top="0.75" bottom="0.75" header="0.3" footer="0.3"/>
  <x:tableParts count="1">
    <x:tablePart xmlns:r="http://schemas.openxmlformats.org/officeDocument/2006/relationships" r:id="R1e5ed2ed74ec4d0a"/>
  </x:tableParts>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7" hidden="0" customWidth="1"/>
    <x:col min="2" max="2" width="10" hidden="0" customWidth="1"/>
    <x:col min="3" max="3" width="34" hidden="0" customWidth="1"/>
    <x:col min="4" max="4" width="18" hidden="0" customWidth="1"/>
    <x:col min="5" max="5" width="14" hidden="0" customWidth="1"/>
  </x:cols>
  <x:sheetData>
    <x:row r="1" ht="32" customHeight="1">
      <x:c r="A1" s="91" t="str">
        <x:v>Month</x:v>
      </x:c>
      <x:c r="B1" s="91" t="str">
        <x:v>Rank</x:v>
      </x:c>
      <x:c r="C1" s="91" t="str">
        <x:v>Name</x:v>
      </x:c>
      <x:c r="D1" s="91" t="str">
        <x:v>EmployeeID</x:v>
      </x:c>
      <x:c r="E1" s="91" t="str">
        <x:v>Points</x:v>
      </x:c>
    </x:row>
    <x:row r="2" ht="30" customHeight="1">
      <x:c r="A2" s="106" t="str">
        <x:v>2026-06</x:v>
      </x:c>
      <x:c r="B2" s="105" t="n">
        <x:v>1</x:v>
      </x:c>
      <x:c r="C2" s="104" t="str">
        <x:v>Salim Al Harthi (Sample)</x:v>
      </x:c>
      <x:c r="D2" s="106" t="str">
        <x:v>DEMO-001</x:v>
      </x:c>
      <x:c r="E2" s="105" t="n">
        <x:v>95</x:v>
      </x:c>
    </x:row>
    <x:row r="3" ht="30" customHeight="1">
      <x:c r="A3" s="106" t="str">
        <x:v>2026-06</x:v>
      </x:c>
      <x:c r="B3" s="105" t="n">
        <x:v>2</x:v>
      </x:c>
      <x:c r="C3" s="104" t="str">
        <x:v>Maha Al Said (Sample)</x:v>
      </x:c>
      <x:c r="D3" s="106" t="str">
        <x:v>DEMO-002</x:v>
      </x:c>
      <x:c r="E3" s="105" t="n">
        <x:v>90</x:v>
      </x:c>
    </x:row>
    <x:row r="4" ht="30" customHeight="1">
      <x:c r="A4" s="106" t="str">
        <x:v>2026-06</x:v>
      </x:c>
      <x:c r="B4" s="105" t="n">
        <x:v>3</x:v>
      </x:c>
      <x:c r="C4" s="104" t="str">
        <x:v>Khalid Al Rawahi (Sample)</x:v>
      </x:c>
      <x:c r="D4" s="106" t="str">
        <x:v>DEMO-003</x:v>
      </x:c>
      <x:c r="E4" s="105" t="n">
        <x:v>85</x:v>
      </x:c>
    </x:row>
    <x:row r="5" ht="30" customHeight="1">
      <x:c r="A5" s="106" t="str">
        <x:v>2026-06</x:v>
      </x:c>
      <x:c r="B5" s="105" t="n">
        <x:v>4</x:v>
      </x:c>
      <x:c r="C5" s="104" t="str">
        <x:v>Noor Al Kindi (Sample)</x:v>
      </x:c>
      <x:c r="D5" s="106" t="str">
        <x:v>DEMO-004</x:v>
      </x:c>
      <x:c r="E5" s="105" t="n">
        <x:v>80</x:v>
      </x:c>
    </x:row>
    <x:row r="6" ht="30" customHeight="1">
      <x:c r="A6" s="106" t="str">
        <x:v>2026-06</x:v>
      </x:c>
      <x:c r="B6" s="105" t="n">
        <x:v>5</x:v>
      </x:c>
      <x:c r="C6" s="104" t="str">
        <x:v>Hamza Al Maawali (Sample)</x:v>
      </x:c>
      <x:c r="D6" s="106" t="str">
        <x:v>DEMO-005</x:v>
      </x:c>
      <x:c r="E6" s="105" t="n">
        <x:v>75</x:v>
      </x:c>
    </x:row>
    <x:row r="7" ht="30" customHeight="1">
      <x:c r="A7" s="106" t="str">
        <x:v>2026-06</x:v>
      </x:c>
      <x:c r="B7" s="105" t="n">
        <x:v>6</x:v>
      </x:c>
      <x:c r="C7" s="104" t="str">
        <x:v>Sara Al Hinai (Sample)</x:v>
      </x:c>
      <x:c r="D7" s="106" t="str">
        <x:v>DEMO-006</x:v>
      </x:c>
      <x:c r="E7" s="105" t="n">
        <x:v>70</x:v>
      </x:c>
    </x:row>
    <x:row r="8" ht="30" customHeight="1">
      <x:c r="A8" s="106" t="str">
        <x:v>2026-06</x:v>
      </x:c>
      <x:c r="B8" s="105" t="n">
        <x:v>7</x:v>
      </x:c>
      <x:c r="C8" s="104" t="str">
        <x:v>Yousuf Al Jabri (Sample)</x:v>
      </x:c>
      <x:c r="D8" s="106" t="str">
        <x:v>DEMO-007</x:v>
      </x:c>
      <x:c r="E8" s="105" t="n">
        <x:v>65</x:v>
      </x:c>
    </x:row>
    <x:row r="9" ht="30" customHeight="1">
      <x:c r="A9" s="106" t="str">
        <x:v>2026-06</x:v>
      </x:c>
      <x:c r="B9" s="105" t="n">
        <x:v>8</x:v>
      </x:c>
      <x:c r="C9" s="104" t="str">
        <x:v>Maryam Al Abri (Sample)</x:v>
      </x:c>
      <x:c r="D9" s="106" t="str">
        <x:v>DEMO-008</x:v>
      </x:c>
      <x:c r="E9" s="105" t="n">
        <x:v>60</x:v>
      </x:c>
    </x:row>
    <x:row r="10" ht="30" customHeight="1">
      <x:c r="A10" s="106" t="str">
        <x:v>2026-06</x:v>
      </x:c>
      <x:c r="B10" s="105" t="n">
        <x:v>9</x:v>
      </x:c>
      <x:c r="C10" s="104" t="str">
        <x:v>Faisal Al Shukaili (Sample)</x:v>
      </x:c>
      <x:c r="D10" s="106" t="str">
        <x:v>DEMO-009</x:v>
      </x:c>
      <x:c r="E10" s="105" t="n">
        <x:v>55</x:v>
      </x:c>
    </x:row>
    <x:row r="11" ht="30" customHeight="1">
      <x:c r="A11" s="106" t="str">
        <x:v>2026-06</x:v>
      </x:c>
      <x:c r="B11" s="105" t="n">
        <x:v>10</x:v>
      </x:c>
      <x:c r="C11" s="104" t="str">
        <x:v>Hana Al Wahaibi (Sample)</x:v>
      </x:c>
      <x:c r="D11" s="106" t="str">
        <x:v>DEMO-010</x:v>
      </x:c>
      <x:c r="E11" s="105" t="n">
        <x:v>50</x:v>
      </x:c>
    </x:row>
    <x:row r="12" ht="30" customHeight="1">
      <x:c r="A12" s="106" t="str">
        <x:v>2026-07</x:v>
      </x:c>
      <x:c r="B12" s="105" t="n">
        <x:v>1</x:v>
      </x:c>
      <x:c r="C12" s="104" t="str">
        <x:v>Salim Al Harthi (Sample)</x:v>
      </x:c>
      <x:c r="D12" s="106" t="str">
        <x:v>DEMO-001</x:v>
      </x:c>
      <x:c r="E12" s="105" t="n">
        <x:v>100</x:v>
      </x:c>
    </x:row>
    <x:row r="13" ht="30" customHeight="1">
      <x:c r="A13" s="106" t="str">
        <x:v>2026-07</x:v>
      </x:c>
      <x:c r="B13" s="105" t="n">
        <x:v>2</x:v>
      </x:c>
      <x:c r="C13" s="104" t="str">
        <x:v>Maha Al Said (Sample)</x:v>
      </x:c>
      <x:c r="D13" s="106" t="str">
        <x:v>DEMO-002</x:v>
      </x:c>
      <x:c r="E13" s="105" t="n">
        <x:v>95</x:v>
      </x:c>
    </x:row>
    <x:row r="14" ht="30" customHeight="1">
      <x:c r="A14" s="106" t="str">
        <x:v>2026-07</x:v>
      </x:c>
      <x:c r="B14" s="105" t="n">
        <x:v>3</x:v>
      </x:c>
      <x:c r="C14" s="104" t="str">
        <x:v>Khalid Al Rawahi (Sample)</x:v>
      </x:c>
      <x:c r="D14" s="106" t="str">
        <x:v>DEMO-003</x:v>
      </x:c>
      <x:c r="E14" s="105" t="n">
        <x:v>90</x:v>
      </x:c>
    </x:row>
    <x:row r="15" ht="30" customHeight="1">
      <x:c r="A15" s="106" t="str">
        <x:v>2026-07</x:v>
      </x:c>
      <x:c r="B15" s="105" t="n">
        <x:v>4</x:v>
      </x:c>
      <x:c r="C15" s="104" t="str">
        <x:v>Noor Al Kindi (Sample)</x:v>
      </x:c>
      <x:c r="D15" s="106" t="str">
        <x:v>DEMO-004</x:v>
      </x:c>
      <x:c r="E15" s="105" t="n">
        <x:v>85</x:v>
      </x:c>
    </x:row>
    <x:row r="16" ht="30" customHeight="1">
      <x:c r="A16" s="106" t="str">
        <x:v>2026-07</x:v>
      </x:c>
      <x:c r="B16" s="105" t="n">
        <x:v>5</x:v>
      </x:c>
      <x:c r="C16" s="104" t="str">
        <x:v>Hamza Al Maawali (Sample)</x:v>
      </x:c>
      <x:c r="D16" s="106" t="str">
        <x:v>DEMO-005</x:v>
      </x:c>
      <x:c r="E16" s="105" t="n">
        <x:v>80</x:v>
      </x:c>
    </x:row>
    <x:row r="17" ht="30" customHeight="1">
      <x:c r="A17" s="106" t="str">
        <x:v>2026-07</x:v>
      </x:c>
      <x:c r="B17" s="105" t="n">
        <x:v>6</x:v>
      </x:c>
      <x:c r="C17" s="104" t="str">
        <x:v>Sara Al Hinai (Sample)</x:v>
      </x:c>
      <x:c r="D17" s="106" t="str">
        <x:v>DEMO-006</x:v>
      </x:c>
      <x:c r="E17" s="105" t="n">
        <x:v>75</x:v>
      </x:c>
    </x:row>
    <x:row r="18" ht="30" customHeight="1">
      <x:c r="A18" s="106" t="str">
        <x:v>2026-07</x:v>
      </x:c>
      <x:c r="B18" s="105" t="n">
        <x:v>7</x:v>
      </x:c>
      <x:c r="C18" s="104" t="str">
        <x:v>Yousuf Al Jabri (Sample)</x:v>
      </x:c>
      <x:c r="D18" s="106" t="str">
        <x:v>DEMO-007</x:v>
      </x:c>
      <x:c r="E18" s="105" t="n">
        <x:v>70</x:v>
      </x:c>
    </x:row>
    <x:row r="19" ht="30" customHeight="1">
      <x:c r="A19" s="106" t="str">
        <x:v>2026-07</x:v>
      </x:c>
      <x:c r="B19" s="105" t="n">
        <x:v>8</x:v>
      </x:c>
      <x:c r="C19" s="104" t="str">
        <x:v>Maryam Al Abri (Sample)</x:v>
      </x:c>
      <x:c r="D19" s="106" t="str">
        <x:v>DEMO-008</x:v>
      </x:c>
      <x:c r="E19" s="105" t="n">
        <x:v>65</x:v>
      </x:c>
    </x:row>
    <x:row r="20" ht="30" customHeight="1">
      <x:c r="A20" s="106" t="str">
        <x:v>2026-07</x:v>
      </x:c>
      <x:c r="B20" s="105" t="n">
        <x:v>9</x:v>
      </x:c>
      <x:c r="C20" s="104" t="str">
        <x:v>Faisal Al Shukaili (Sample)</x:v>
      </x:c>
      <x:c r="D20" s="106" t="str">
        <x:v>DEMO-009</x:v>
      </x:c>
      <x:c r="E20" s="105" t="n">
        <x:v>60</x:v>
      </x:c>
    </x:row>
    <x:row r="21" ht="30" customHeight="1">
      <x:c r="A21" s="106" t="str">
        <x:v>2026-07</x:v>
      </x:c>
      <x:c r="B21" s="105" t="n">
        <x:v>10</x:v>
      </x:c>
      <x:c r="C21" s="104" t="str">
        <x:v>Hana Al Wahaibi (Sample)</x:v>
      </x:c>
      <x:c r="D21" s="106" t="str">
        <x:v>DEMO-010</x:v>
      </x:c>
      <x:c r="E21" s="105" t="n">
        <x:v>55</x:v>
      </x:c>
    </x:row>
    <x:row r="22">
      <x:c r="A22"/>
      <x:c r="B22"/>
      <x:c r="C22"/>
      <x:c r="D22"/>
      <x:c r="E22"/>
    </x:row>
    <x:row r="23">
      <x:c r="A23"/>
      <x:c r="B23"/>
      <x:c r="C23"/>
      <x:c r="D23"/>
      <x:c r="E23"/>
    </x:row>
    <x:row r="24">
      <x:c r="A24"/>
      <x:c r="B24"/>
      <x:c r="C24"/>
      <x:c r="D24"/>
      <x:c r="E24"/>
    </x:row>
    <x:row r="25">
      <x:c r="A25"/>
      <x:c r="B25"/>
      <x:c r="C25"/>
      <x:c r="D25"/>
      <x:c r="E25"/>
    </x:row>
    <x:row r="26">
      <x:c r="A26"/>
      <x:c r="B26"/>
      <x:c r="C26"/>
      <x:c r="D26"/>
      <x:c r="E26"/>
    </x:row>
    <x:row r="27">
      <x:c r="A27"/>
      <x:c r="B27"/>
      <x:c r="C27"/>
      <x:c r="D27"/>
      <x:c r="E27"/>
    </x:row>
    <x:row r="28">
      <x:c r="A28"/>
      <x:c r="B28"/>
      <x:c r="C28"/>
      <x:c r="D28"/>
      <x:c r="E28"/>
    </x:row>
    <x:row r="29">
      <x:c r="A29"/>
      <x:c r="B29"/>
      <x:c r="C29"/>
      <x:c r="D29"/>
      <x:c r="E29"/>
    </x:row>
    <x:row r="30">
      <x:c r="A30"/>
      <x:c r="B30"/>
      <x:c r="C30"/>
      <x:c r="D30"/>
      <x:c r="E30"/>
    </x:row>
    <x:row r="31">
      <x:c r="A31"/>
      <x:c r="B31"/>
      <x:c r="C31"/>
      <x:c r="D31"/>
      <x:c r="E31"/>
    </x:row>
    <x:row r="32">
      <x:c r="A32"/>
      <x:c r="B32"/>
      <x:c r="C32"/>
      <x:c r="D32"/>
      <x:c r="E32"/>
    </x:row>
    <x:row r="33">
      <x:c r="A33"/>
      <x:c r="B33"/>
      <x:c r="C33"/>
      <x:c r="D33"/>
      <x:c r="E33"/>
    </x:row>
    <x:row r="34">
      <x:c r="A34"/>
      <x:c r="B34"/>
      <x:c r="C34"/>
      <x:c r="D34"/>
      <x:c r="E34"/>
    </x:row>
    <x:row r="35">
      <x:c r="A35"/>
      <x:c r="B35"/>
      <x:c r="C35"/>
      <x:c r="D35"/>
      <x:c r="E35"/>
    </x:row>
    <x:row r="36">
      <x:c r="A36"/>
      <x:c r="B36"/>
      <x:c r="C36"/>
      <x:c r="D36"/>
      <x:c r="E36"/>
    </x:row>
    <x:row r="37">
      <x:c r="A37"/>
      <x:c r="B37"/>
      <x:c r="C37"/>
      <x:c r="D37"/>
      <x:c r="E37"/>
    </x:row>
  </x:sheetData>
  <x:dataValidations count="2">
    <x:dataValidation type="whole" errorStyle="stop" operator="between" showErrorMessage="1" errorTitle="Check the number" error="Use a whole number between 1 and 10." sqref="B2:B21">
      <x:formula1>1</x:formula1>
      <x:formula2>10</x:formula2>
    </x:dataValidation>
    <x:dataValidation type="whole" errorStyle="stop" operator="between" showErrorMessage="1" errorTitle="Check the number" error="Use a whole number between 0 and 100000." sqref="E2:E21">
      <x:formula1>0</x:formula1>
      <x:formula2>100000</x:formula2>
    </x:dataValidation>
  </x:dataValidations>
  <x:pageMargins left="0.7" right="0.7" top="0.75" bottom="0.75" header="0.3" footer="0.3"/>
  <x:tableParts count="1">
    <x:tablePart xmlns:r="http://schemas.openxmlformats.org/officeDocument/2006/relationships" r:id="Rda65fbb51182411a"/>
  </x:tableParts>
</x:worksheet>
</file>

<file path=xl/worksheets/sheet8.xml><?xml version="1.0" encoding="utf-8"?>
<x:worksheet xmlns:x="http://schemas.openxmlformats.org/spreadsheetml/2006/main">
  <x:sheetPr>
    <x:tabColor rgb="FF0B5A8A"/>
  </x:sheetPr>
  <x:sheetViews>
    <x:sheetView showGridLines="0" workbookViewId="0">
      <x:pane ySplit="1" topLeftCell="A2" activePane="bottomLeft" state="frozen"/>
    </x:sheetView>
  </x:sheetViews>
  <x:sheetFormatPr defaultRowHeight="15"/>
  <x:cols>
    <x:col min="1" max="1" width="10" hidden="0" customWidth="1"/>
    <x:col min="2" max="2" width="16" hidden="0" customWidth="1"/>
    <x:col min="3" max="3" width="30" hidden="0" customWidth="1"/>
    <x:col min="4" max="4" width="60" hidden="0" customWidth="1"/>
    <x:col min="5" max="5" width="46" hidden="0" customWidth="1"/>
    <x:col min="6" max="6" width="34" hidden="0" customWidth="1"/>
    <x:col min="7" max="7" width="34" hidden="0" customWidth="1"/>
    <x:col min="8" max="8" width="12" hidden="0" customWidth="1"/>
  </x:cols>
  <x:sheetData>
    <x:row r="1" ht="32" customHeight="1">
      <x:c r="A1" s="91" t="str">
        <x:v>Round</x:v>
      </x:c>
      <x:c r="B1" s="91" t="str">
        <x:v>Period</x:v>
      </x:c>
      <x:c r="C1" s="91" t="str">
        <x:v>Title</x:v>
      </x:c>
      <x:c r="D1" s="91" t="str">
        <x:v>Description</x:v>
      </x:c>
      <x:c r="E1" s="91" t="str">
        <x:v>Url</x:v>
      </x:c>
      <x:c r="F1" s="91" t="str">
        <x:v>OpenAt</x:v>
      </x:c>
      <x:c r="G1" s="91" t="str">
        <x:v>CloseAt</x:v>
      </x:c>
      <x:c r="H1" s="91" t="str">
        <x:v>Enabled</x:v>
      </x:c>
    </x:row>
    <x:row r="2" ht="44" customHeight="1">
      <x:c r="A2" s="105" t="n">
        <x:v>1</x:v>
      </x:c>
      <x:c r="B2" s="106" t="str">
        <x:v>2026-09</x:v>
      </x:c>
      <x:c r="C2" s="104" t="str">
        <x:v>What Would You Do?</x:v>
      </x:c>
      <x:c r="D2" s="104" t="str">
        <x:v>Choose your next step when a required approval is bypassed.</x:v>
      </x:c>
      <x:c r="E2" s="104" t="str">
        <x:v>PUT_2026_09_ROUND_1_FORM_URL_HERE</x:v>
      </x:c>
      <x:c r="F2" s="110" t="str">
        <x:v> 2026-09-01T08:00:00+04:00</x:v>
      </x:c>
      <x:c r="G2" s="110" t="str">
        <x:v> 2026-09-08T08:00:00+04:00</x:v>
      </x:c>
      <x:c r="H2" s="107" t="b">
        <x:v>1</x:v>
      </x:c>
    </x:row>
    <x:row r="3" ht="44" customHeight="1">
      <x:c r="A3" s="105" t="n">
        <x:v>2</x:v>
      </x:c>
      <x:c r="B3" s="106" t="str">
        <x:v>2026-09</x:v>
      </x:c>
      <x:c r="C3" s="104" t="str">
        <x:v>Spot the Red Flag</x:v>
      </x:c>
      <x:c r="D3" s="104" t="str">
        <x:v>Recognise a confidentiality risk during the review of a concern.</x:v>
      </x:c>
      <x:c r="E3" s="104" t="str">
        <x:v>PUT_2026_09_ROUND_2_FORM_URL_HERE</x:v>
      </x:c>
      <x:c r="F3" s="110" t="str">
        <x:v> 2026-09-08T08:00:00+04:00</x:v>
      </x:c>
      <x:c r="G3" s="110" t="str">
        <x:v> 2026-09-15T08:00:00+04:00</x:v>
      </x:c>
      <x:c r="H3" s="107" t="b">
        <x:v>1</x:v>
      </x:c>
    </x:row>
    <x:row r="4" ht="44" customHeight="1">
      <x:c r="A4" s="105" t="n">
        <x:v>3</x:v>
      </x:c>
      <x:c r="B4" s="106" t="str">
        <x:v>2026-09</x:v>
      </x:c>
      <x:c r="C4" s="104" t="str">
        <x:v>Myth or Fact</x:v>
      </x:c>
      <x:c r="D4" s="104" t="str">
        <x:v>Consider whether employees should investigate their own suspicions.</x:v>
      </x:c>
      <x:c r="E4" s="104" t="str">
        <x:v>PUT_2026_09_ROUND_3_FORM_URL_HERE</x:v>
      </x:c>
      <x:c r="F4" s="110" t="str">
        <x:v> 2026-09-15T08:00:00+04:00</x:v>
      </x:c>
      <x:c r="G4" s="110" t="str">
        <x:v> 2026-09-22T08:00:00+04:00</x:v>
      </x:c>
      <x:c r="H4" s="107" t="b">
        <x:v>1</x:v>
      </x:c>
    </x:row>
    <x:row r="5" ht="44" customHeight="1">
      <x:c r="A5" s="105" t="n">
        <x:v>4</x:v>
      </x:c>
      <x:c r="B5" s="106" t="str">
        <x:v>2026-09</x:v>
      </x:c>
      <x:c r="C5" s="104" t="str">
        <x:v>Put It into Practice</x:v>
      </x:c>
      <x:c r="D5" s="104" t="str">
        <x:v>Identify the appropriate route for a suspicious transaction.</x:v>
      </x:c>
      <x:c r="E5" s="104" t="str">
        <x:v>PUT_2026_09_ROUND_4_FORM_URL_HERE</x:v>
      </x:c>
      <x:c r="F5" s="110" t="str">
        <x:v> 2026-09-22T08:00:00+04:00</x:v>
      </x:c>
      <x:c r="G5" s="110" t="str">
        <x:v> 2026-09-29T08:00:00+04:00</x:v>
      </x:c>
      <x:c r="H5" s="107" t="b">
        <x:v>1</x:v>
      </x:c>
    </x:row>
    <x:row r="6" ht="44" customHeight="1">
      <x:c r="A6" s="105" t="n">
        <x:v>1</x:v>
      </x:c>
      <x:c r="B6" s="106" t="str">
        <x:v>2026-10</x:v>
      </x:c>
      <x:c r="C6" s="104" t="str">
        <x:v>What Would You Do?</x:v>
      </x:c>
      <x:c r="D6" s="104" t="str">
        <x:v>Consider your next step when a customer insists on offering a gift.</x:v>
      </x:c>
      <x:c r="E6" s="104" t="str">
        <x:v>PUT_2026_10_ROUND_1_FORM_URL_HERE</x:v>
      </x:c>
      <x:c r="F6" s="110" t="str">
        <x:v> 2026-10-01T08:00:00+04:00</x:v>
      </x:c>
      <x:c r="G6" s="110" t="str">
        <x:v> 2026-10-08T08:00:00+04:00</x:v>
      </x:c>
      <x:c r="H6" s="107" t="b">
        <x:v>1</x:v>
      </x:c>
    </x:row>
    <x:row r="7" ht="44" customHeight="1">
      <x:c r="A7" s="105" t="n">
        <x:v>2</x:v>
      </x:c>
      <x:c r="B7" s="106" t="str">
        <x:v>2026-10</x:v>
      </x:c>
      <x:c r="C7" s="104" t="str">
        <x:v>Spot the Red Flag</x:v>
      </x:c>
      <x:c r="D7" s="104" t="str">
        <x:v>Spot a personal relationship that needs a conflict declaration.</x:v>
      </x:c>
      <x:c r="E7" s="104" t="str">
        <x:v>PUT_2026_10_ROUND_2_FORM_URL_HERE</x:v>
      </x:c>
      <x:c r="F7" s="110" t="str">
        <x:v> 2026-10-08T08:00:00+04:00</x:v>
      </x:c>
      <x:c r="G7" s="110" t="str">
        <x:v> 2026-10-15T08:00:00+04:00</x:v>
      </x:c>
      <x:c r="H7" s="107" t="b">
        <x:v>1</x:v>
      </x:c>
    </x:row>
    <x:row r="8" ht="44" customHeight="1">
      <x:c r="A8" s="105" t="n">
        <x:v>3</x:v>
      </x:c>
      <x:c r="B8" s="106" t="str">
        <x:v>2026-10</x:v>
      </x:c>
      <x:c r="C8" s="104" t="str">
        <x:v>Myth or Fact</x:v>
      </x:c>
      <x:c r="D8" s="104" t="str">
        <x:v>Check whether low gift value alone makes acceptance appropriate.</x:v>
      </x:c>
      <x:c r="E8" s="104" t="str">
        <x:v>PUT_2026_10_ROUND_3_FORM_URL_HERE</x:v>
      </x:c>
      <x:c r="F8" s="110" t="str">
        <x:v> 2026-10-15T08:00:00+04:00</x:v>
      </x:c>
      <x:c r="G8" s="110" t="str">
        <x:v> 2026-10-22T08:00:00+04:00</x:v>
      </x:c>
      <x:c r="H8" s="107" t="b">
        <x:v>1</x:v>
      </x:c>
    </x:row>
    <x:row r="9" ht="44" customHeight="1">
      <x:c r="A9" s="105" t="n">
        <x:v>4</x:v>
      </x:c>
      <x:c r="B9" s="106" t="str">
        <x:v>2026-10</x:v>
      </x:c>
      <x:c r="C9" s="104" t="str">
        <x:v>Put It into Practice</x:v>
      </x:c>
      <x:c r="D9" s="104" t="str">
        <x:v>Choose the right step before starting outside employment.</x:v>
      </x:c>
      <x:c r="E9" s="104" t="str">
        <x:v>PUT_2026_10_ROUND_4_FORM_URL_HERE</x:v>
      </x:c>
      <x:c r="F9" s="110" t="str">
        <x:v> 2026-10-22T08:00:00+04:00</x:v>
      </x:c>
      <x:c r="G9" s="110" t="str">
        <x:v> 2026-10-29T08:00:00+04:00</x:v>
      </x:c>
      <x:c r="H9" s="107" t="b">
        <x:v>1</x:v>
      </x:c>
    </x:row>
    <x:row r="10" ht="44" customHeight="1">
      <x:c r="A10" s="105" t="n">
        <x:v>1</x:v>
      </x:c>
      <x:c r="B10" s="106" t="str">
        <x:v>2026-11</x:v>
      </x:c>
      <x:c r="C10" s="104" t="str">
        <x:v>What Would You Do?</x:v>
      </x:c>
      <x:c r="D10" s="104" t="str">
        <x:v>Choose how to respond to a suspected information security incident.</x:v>
      </x:c>
      <x:c r="E10" s="104" t="str">
        <x:v>PUT_2026_11_ROUND_1_FORM_URL_HERE</x:v>
      </x:c>
      <x:c r="F10" s="110" t="str">
        <x:v> 2026-11-01T08:00:00+04:00</x:v>
      </x:c>
      <x:c r="G10" s="110" t="str">
        <x:v> 2026-11-08T08:00:00+04:00</x:v>
      </x:c>
      <x:c r="H10" s="107" t="b">
        <x:v>1</x:v>
      </x:c>
    </x:row>
    <x:row r="11" ht="44" customHeight="1">
      <x:c r="A11" s="105" t="n">
        <x:v>2</x:v>
      </x:c>
      <x:c r="B11" s="106" t="str">
        <x:v>2026-11</x:v>
      </x:c>
      <x:c r="C11" s="104" t="str">
        <x:v>Spot the Red Flag</x:v>
      </x:c>
      <x:c r="D11" s="104" t="str">
        <x:v>Spot an unauthorised disclosure of customer information.</x:v>
      </x:c>
      <x:c r="E11" s="104" t="str">
        <x:v>PUT_2026_11_ROUND_2_FORM_URL_HERE</x:v>
      </x:c>
      <x:c r="F11" s="110" t="str">
        <x:v> 2026-11-08T08:00:00+04:00</x:v>
      </x:c>
      <x:c r="G11" s="110" t="str">
        <x:v> 2026-11-15T08:00:00+04:00</x:v>
      </x:c>
      <x:c r="H11" s="107" t="b">
        <x:v>1</x:v>
      </x:c>
    </x:row>
    <x:row r="12" ht="44" customHeight="1">
      <x:c r="A12" s="105" t="n">
        <x:v>3</x:v>
      </x:c>
      <x:c r="B12" s="106" t="str">
        <x:v>2026-11</x:v>
      </x:c>
      <x:c r="C12" s="104" t="str">
        <x:v>Myth or Fact</x:v>
      </x:c>
      <x:c r="D12" s="104" t="str">
        <x:v>Check whether confidentiality ends when employment ends.</x:v>
      </x:c>
      <x:c r="E12" s="104" t="str">
        <x:v>PUT_2026_11_ROUND_3_FORM_URL_HERE</x:v>
      </x:c>
      <x:c r="F12" s="110" t="str">
        <x:v> 2026-11-15T08:00:00+04:00</x:v>
      </x:c>
      <x:c r="G12" s="110" t="str">
        <x:v> 2026-11-22T08:00:00+04:00</x:v>
      </x:c>
      <x:c r="H12" s="107" t="b">
        <x:v>1</x:v>
      </x:c>
    </x:row>
    <x:row r="13" ht="44" customHeight="1">
      <x:c r="A13" s="105" t="n">
        <x:v>4</x:v>
      </x:c>
      <x:c r="B13" s="106" t="str">
        <x:v>2026-11</x:v>
      </x:c>
      <x:c r="C13" s="104" t="str">
        <x:v>Put It into Practice</x:v>
      </x:c>
      <x:c r="D13" s="104" t="str">
        <x:v>Choose the appropriate way to correct an inaccurate record.</x:v>
      </x:c>
      <x:c r="E13" s="104" t="str">
        <x:v>PUT_2026_11_ROUND_4_FORM_URL_HERE</x:v>
      </x:c>
      <x:c r="F13" s="110" t="str">
        <x:v> 2026-11-22T08:00:00+04:00</x:v>
      </x:c>
      <x:c r="G13" s="110" t="str">
        <x:v> 2026-11-29T08:00:00+04:00</x:v>
      </x:c>
      <x:c r="H13" s="107" t="b">
        <x:v>1</x:v>
      </x:c>
    </x:row>
  </x:sheetData>
  <x:dataValidations count="2">
    <x:dataValidation type="whole" errorStyle="stop" operator="between" showErrorMessage="1" errorTitle="Check the number" error="Use a whole number between 1 and 4." sqref="A2:A13">
      <x:formula1>1</x:formula1>
      <x:formula2>4</x:formula2>
    </x:dataValidation>
    <x:dataValidation type="list" errorStyle="stop" showErrorMessage="1" errorTitle="Check the value" error="Choose one of the listed values." sqref="H2:H13">
      <x:formula1>"TRUE,FALSE"</x:formula1>
    </x:dataValidation>
  </x:dataValidations>
  <x:pageMargins left="0.7" right="0.7" top="0.75" bottom="0.75" header="0.3" footer="0.3"/>
  <x:tableParts count="1">
    <x:tablePart xmlns:r="http://schemas.openxmlformats.org/officeDocument/2006/relationships" r:id="R781dbdc248634dab"/>
  </x:tableParts>
</x:worksheet>
</file>

<file path=xl/worksheets/sheet9.xml><?xml version="1.0" encoding="utf-8"?>
<x:worksheet xmlns:x="http://schemas.openxmlformats.org/spreadsheetml/2006/main">
  <x:sheetPr>
    <x:tabColor rgb="FF0B5A8A"/>
  </x:sheetPr>
  <x:sheetViews>
    <x:sheetView showGridLines="0" workbookViewId="0">
      <x:pane ySplit="1" topLeftCell="A2" activePane="bottomLeft" state="frozen"/>
    </x:sheetView>
  </x:sheetViews>
  <x:sheetFormatPr defaultRowHeight="15"/>
  <x:cols>
    <x:col min="1" max="1" width="10" hidden="0" customWidth="1"/>
    <x:col min="2" max="2" width="23" hidden="0" customWidth="1"/>
    <x:col min="3" max="3" width="69" hidden="0" customWidth="1"/>
    <x:col min="4" max="4" width="58" hidden="0" customWidth="1"/>
    <x:col min="5" max="5" width="65" hidden="0" customWidth="1"/>
    <x:col min="6" max="6" width="65" hidden="0" customWidth="1"/>
    <x:col min="7" max="7" width="46" hidden="0" customWidth="1"/>
    <x:col min="8" max="8" width="30" hidden="0" customWidth="1"/>
    <x:col min="9" max="9" width="16" hidden="0" customWidth="1"/>
  </x:cols>
  <x:sheetData>
    <x:row r="1" ht="32" customHeight="1">
      <x:c r="A1" s="91" t="str">
        <x:v>Round</x:v>
      </x:c>
      <x:c r="B1" s="91" t="str">
        <x:v>QuestionID</x:v>
      </x:c>
      <x:c r="C1" s="91" t="str">
        <x:v>Question_EN</x:v>
      </x:c>
      <x:c r="D1" s="91" t="str">
        <x:v>Option_A</x:v>
      </x:c>
      <x:c r="E1" s="91" t="str">
        <x:v>Option_B</x:v>
      </x:c>
      <x:c r="F1" s="91" t="str">
        <x:v>Option_C</x:v>
      </x:c>
      <x:c r="G1" s="91" t="str">
        <x:v>SourceSection</x:v>
      </x:c>
      <x:c r="H1" s="91" t="str">
        <x:v>Status</x:v>
      </x:c>
      <x:c r="I1" s="91" t="str">
        <x:v>Period</x:v>
      </x:c>
    </x:row>
    <x:row r="2" ht="44" customHeight="1">
      <x:c r="A2" s="105" t="n">
        <x:v>1</x:v>
      </x:c>
      <x:c r="B2" s="106" t="str">
        <x:v>NZM-202609-R1</x:v>
      </x:c>
      <x:c r="C2" s="104" t="str">
        <x:v>You notice a required approval being bypassed to finish a task faster. What is the best next step?</x:v>
      </x:c>
      <x:c r="D2" s="104" t="str">
        <x:v>Ignore it because the task is urgent.</x:v>
      </x:c>
      <x:c r="E2" s="104" t="str">
        <x:v>Raise the relevant facts through the appropriate official channel.</x:v>
      </x:c>
      <x:c r="F2" s="104" t="str">
        <x:v>Interview colleagues and investigate the matter yourself before reporting it.</x:v>
      </x:c>
      <x:c r="G2" s="108" t="str">
        <x:v>Code of Conduct, Sections 4.E and 12</x:v>
      </x:c>
      <x:c r="H2" s="104" t="str">
        <x:v>Sample draft - approval required</x:v>
      </x:c>
      <x:c r="I2" s="106" t="str">
        <x:v>2026-09</x:v>
      </x:c>
    </x:row>
    <x:row r="3" ht="44" customHeight="1">
      <x:c r="A3" s="105" t="n">
        <x:v>2</x:v>
      </x:c>
      <x:c r="B3" s="106" t="str">
        <x:v>NZM-202609-R2</x:v>
      </x:c>
      <x:c r="C3" s="104" t="str">
        <x:v>A concern is under review. Which action creates a confidentiality risk?</x:v>
      </x:c>
      <x:c r="D3" s="104" t="str">
        <x:v>Providing relevant facts through the official reporting channel.</x:v>
      </x:c>
      <x:c r="E3" s="104" t="str">
        <x:v>Allowing the authorised team to review the concern.</x:v>
      </x:c>
      <x:c r="F3" s="104" t="str">
        <x:v>Posting the reporter's identity and case details in a team chat without authorisation.</x:v>
      </x:c>
      <x:c r="G3" s="108" t="str">
        <x:v>Code of Conduct, Section 12</x:v>
      </x:c>
      <x:c r="H3" s="104" t="str">
        <x:v>Sample draft - approval required</x:v>
      </x:c>
      <x:c r="I3" s="106" t="str">
        <x:v>2026-09</x:v>
      </x:c>
    </x:row>
    <x:row r="4" ht="59" customHeight="1">
      <x:c r="A4" s="105" t="n">
        <x:v>3</x:v>
      </x:c>
      <x:c r="B4" s="106" t="str">
        <x:v>NZM-202609-R3</x:v>
      </x:c>
      <x:c r="C4" s="104" t="str">
        <x:v>I must complete my own investigation and prove misconduct before I can raise a genuine concern. Is this statement correct?</x:v>
      </x:c>
      <x:c r="D4" s="104" t="str">
        <x:v>Yes. Employees must investigate allegations themselves before reporting.</x:v>
      </x:c>
      <x:c r="E4" s="104" t="str">
        <x:v>No. Raise a genuine concern on reasonable grounds and leave investigation to the authorised team.</x:v>
      </x:c>
      <x:c r="F4" s="104" t="str">
        <x:v>Yes, unless the concern involves a customer.</x:v>
      </x:c>
      <x:c r="G4" s="108" t="str">
        <x:v>Code of Conduct, Sections 4.E and 12</x:v>
      </x:c>
      <x:c r="H4" s="104" t="str">
        <x:v>Sample draft - approval required</x:v>
      </x:c>
      <x:c r="I4" s="106" t="str">
        <x:v>2026-09</x:v>
      </x:c>
    </x:row>
    <x:row r="5" ht="59" customHeight="1">
      <x:c r="A5" s="105" t="n">
        <x:v>4</x:v>
      </x:c>
      <x:c r="B5" s="106" t="str">
        <x:v>NZM-202609-R4</x:v>
      </x:c>
      <x:c r="C5" s="104" t="str">
        <x:v>You identify a suspicious customer financial transaction. Which reporting route does the Code specify?</x:v>
      </x:c>
      <x:c r="D5" s="104" t="str">
        <x:v>Report to the Chief Compliance Officer using the Bank's suspicious transaction reporting procedures.</x:v>
      </x:c>
      <x:c r="E5" s="104" t="str">
        <x:v>Add the transaction details to the Nazaha challenge response so the team can investigate.</x:v>
      </x:c>
      <x:c r="F5" s="104" t="str">
        <x:v>Wait until the Nazaha Minute round closes before deciding whether to report.</x:v>
      </x:c>
      <x:c r="G5" s="108" t="str">
        <x:v>Code of Conduct, Sections 4.A and 12</x:v>
      </x:c>
      <x:c r="H5" s="104" t="str">
        <x:v>Sample draft - approval required</x:v>
      </x:c>
      <x:c r="I5" s="106" t="str">
        <x:v>2026-09</x:v>
      </x:c>
    </x:row>
    <x:row r="6" ht="44" customHeight="1">
      <x:c r="A6" s="105" t="n">
        <x:v>1</x:v>
      </x:c>
      <x:c r="B6" s="106" t="str">
        <x:v>NZM-202610-R1</x:v>
      </x:c>
      <x:c r="C6" s="104" t="str">
        <x:v>A customer insists on giving you a gift after you assist them. What should you do?</x:v>
      </x:c>
      <x:c r="D6" s="104" t="str">
        <x:v>Accept it privately to avoid upsetting the customer.</x:v>
      </x:c>
      <x:c r="E6" s="104" t="str">
        <x:v>Inform your Group or Division Head and follow the handover process to the Head of HRD.</x:v>
      </x:c>
      <x:c r="F6" s="104" t="str">
        <x:v>Ask a family member to receive it for you.</x:v>
      </x:c>
      <x:c r="G6" s="108" t="str">
        <x:v>Code of Conduct (2023), Section 5.C</x:v>
      </x:c>
      <x:c r="H6" s="104" t="str">
        <x:v>Sample draft - approval required</x:v>
      </x:c>
      <x:c r="I6" s="106" t="str">
        <x:v>2026-10</x:v>
      </x:c>
    </x:row>
    <x:row r="7" ht="44" customHeight="1">
      <x:c r="A7" s="105" t="n">
        <x:v>2</x:v>
      </x:c>
      <x:c r="B7" s="106" t="str">
        <x:v>NZM-202610-R2</x:v>
      </x:c>
      <x:c r="C7" s="104" t="str">
        <x:v>Which situation should be disclosed as a potential conflict of interest?</x:v>
      </x:c>
      <x:c r="D7" s="104" t="str">
        <x:v>Using an approved checklist for a routine task.</x:v>
      </x:c>
      <x:c r="E7" s="104" t="str">
        <x:v>Attending mandatory ethics training.</x:v>
      </x:c>
      <x:c r="F7" s="104" t="str">
        <x:v>Taking part in a supplier decision involving a close relative's business.</x:v>
      </x:c>
      <x:c r="G7" s="108" t="str">
        <x:v>Code of Conduct (2023), Section 5.A</x:v>
      </x:c>
      <x:c r="H7" s="104" t="str">
        <x:v>Sample draft - approval required</x:v>
      </x:c>
      <x:c r="I7" s="106" t="str">
        <x:v>2026-10</x:v>
      </x:c>
    </x:row>
    <x:row r="8" ht="44" customHeight="1">
      <x:c r="A8" s="105" t="n">
        <x:v>3</x:v>
      </x:c>
      <x:c r="B8" s="106" t="str">
        <x:v>NZM-202610-R3</x:v>
      </x:c>
      <x:c r="C8" s="104" t="str">
        <x:v>Any gift worth OMR 25 or less can always be accepted. Is this correct?</x:v>
      </x:c>
      <x:c r="D8" s="104" t="str">
        <x:v>Yes, value is the only condition.</x:v>
      </x:c>
      <x:c r="E8" s="104" t="str">
        <x:v>No, the limited exception and all other gift rules must also be considered.</x:v>
      </x:c>
      <x:c r="F8" s="104" t="str">
        <x:v>Yes, as long as nobody else receives a gift.</x:v>
      </x:c>
      <x:c r="G8" s="108" t="str">
        <x:v>Code of Conduct (2023), Section 5.C</x:v>
      </x:c>
      <x:c r="H8" s="104" t="str">
        <x:v>Sample draft - approval required</x:v>
      </x:c>
      <x:c r="I8" s="106" t="str">
        <x:v>2026-10</x:v>
      </x:c>
    </x:row>
    <x:row r="9" ht="44" customHeight="1">
      <x:c r="A9" s="105" t="n">
        <x:v>4</x:v>
      </x:c>
      <x:c r="B9" s="106" t="str">
        <x:v>NZM-202610-R4</x:v>
      </x:c>
      <x:c r="C9" s="104" t="str">
        <x:v>You are offered a regular unpaid role at another organisation. What is the best next step?</x:v>
      </x:c>
      <x:c r="D9" s="104" t="str">
        <x:v>Start immediately because no payment is involved.</x:v>
      </x:c>
      <x:c r="E9" s="104" t="str">
        <x:v>Tell colleagues after your first month.</x:v>
      </x:c>
      <x:c r="F9" s="104" t="str">
        <x:v>Check the outside-work requirements and obtain the required prior written approval.</x:v>
      </x:c>
      <x:c r="G9" s="108" t="str">
        <x:v>Code of Conduct (2023), Section 5.B</x:v>
      </x:c>
      <x:c r="H9" s="104" t="str">
        <x:v>Sample draft - approval required</x:v>
      </x:c>
      <x:c r="I9" s="106" t="str">
        <x:v>2026-10</x:v>
      </x:c>
    </x:row>
    <x:row r="10" ht="44" customHeight="1">
      <x:c r="A10" s="105" t="n">
        <x:v>1</x:v>
      </x:c>
      <x:c r="B10" s="106" t="str">
        <x:v>NZM-202611-R1</x:v>
      </x:c>
      <x:c r="C10" s="104" t="str">
        <x:v>You suspect a work email or device has exposed Bank information. What should you do first?</x:v>
      </x:c>
      <x:c r="D10" s="104" t="str">
        <x:v>Report it promptly through the approved Information Security incident process.</x:v>
      </x:c>
      <x:c r="E10" s="104" t="str">
        <x:v>Upload the material to an external service to check it.</x:v>
      </x:c>
      <x:c r="F10" s="104" t="str">
        <x:v>Wait until the next awareness activity.</x:v>
      </x:c>
      <x:c r="G10" s="108" t="str">
        <x:v>Code of Conduct (2023), Section 6</x:v>
      </x:c>
      <x:c r="H10" s="104" t="str">
        <x:v>Sample draft - approval required</x:v>
      </x:c>
      <x:c r="I10" s="106" t="str">
        <x:v>2026-11</x:v>
      </x:c>
    </x:row>
    <x:row r="11" ht="44" customHeight="1">
      <x:c r="A11" s="105" t="n">
        <x:v>2</x:v>
      </x:c>
      <x:c r="B11" s="106" t="str">
        <x:v>NZM-202611-R2</x:v>
      </x:c>
      <x:c r="C11" s="104" t="str">
        <x:v>Which action creates a confidentiality risk?</x:v>
      </x:c>
      <x:c r="D11" s="104" t="str">
        <x:v>Sharing information with an authorised recipient for an approved task.</x:v>
      </x:c>
      <x:c r="E11" s="104" t="str">
        <x:v>Discussing identifiable customer information with a friend who has no authorised business need.</x:v>
      </x:c>
      <x:c r="F11" s="104" t="str">
        <x:v>Using the Bank's approved information-handling process.</x:v>
      </x:c>
      <x:c r="G11" s="108" t="str">
        <x:v>Code of Conduct (2023), Sections 3.I and 4.C</x:v>
      </x:c>
      <x:c r="H11" s="104" t="str">
        <x:v>Sample draft - approval required</x:v>
      </x:c>
      <x:c r="I11" s="106" t="str">
        <x:v>2026-11</x:v>
      </x:c>
    </x:row>
    <x:row r="12" ht="44" customHeight="1">
      <x:c r="A12" s="105" t="n">
        <x:v>3</x:v>
      </x:c>
      <x:c r="B12" s="106" t="str">
        <x:v>NZM-202611-R3</x:v>
      </x:c>
      <x:c r="C12" s="104" t="str">
        <x:v>Confidentiality obligations end when an employee leaves the Bank. Is this correct?</x:v>
      </x:c>
      <x:c r="D12" s="104" t="str">
        <x:v>Yes, if the employee worked on the information.</x:v>
      </x:c>
      <x:c r="E12" s="104" t="str">
        <x:v>Yes, if the information is several months old.</x:v>
      </x:c>
      <x:c r="F12" s="104" t="str">
        <x:v>No, confidential Bank information must still be protected.</x:v>
      </x:c>
      <x:c r="G12" s="108" t="str">
        <x:v>Code of Conduct (2023), Section 3.I</x:v>
      </x:c>
      <x:c r="H12" s="104" t="str">
        <x:v>Sample draft - approval required</x:v>
      </x:c>
      <x:c r="I12" s="106" t="str">
        <x:v>2026-11</x:v>
      </x:c>
    </x:row>
    <x:row r="13" ht="44" customHeight="1">
      <x:c r="A13" s="105" t="n">
        <x:v>4</x:v>
      </x:c>
      <x:c r="B13" s="106" t="str">
        <x:v>NZM-202611-R4</x:v>
      </x:c>
      <x:c r="C13" s="104" t="str">
        <x:v>You find an error in a report already sent internally. What is the appropriate next step?</x:v>
      </x:c>
      <x:c r="D13" s="104" t="str">
        <x:v>Hide the error until someone notices.</x:v>
      </x:c>
      <x:c r="E13" s="104" t="str">
        <x:v>Notify the appropriate owner and correct it through the approved process.</x:v>
      </x:c>
      <x:c r="F13" s="104" t="str">
        <x:v>Change supporting records to make the incorrect report appear accurate.</x:v>
      </x:c>
      <x:c r="G13" s="108" t="str">
        <x:v>Code of Conduct (2023), Section 7</x:v>
      </x:c>
      <x:c r="H13" s="104" t="str">
        <x:v>Sample draft - approval required</x:v>
      </x:c>
      <x:c r="I13" s="106" t="str">
        <x:v>2026-11</x:v>
      </x:c>
    </x:row>
  </x:sheetData>
  <x:dataValidations count="1">
    <x:dataValidation type="whole" errorStyle="stop" operator="between" showErrorMessage="1" errorTitle="Check the number" error="Use a whole number between 1 and 4." sqref="A2:A13">
      <x:formula1>1</x:formula1>
      <x:formula2>4</x:formula2>
    </x:dataValidation>
  </x:dataValidations>
  <x:pageMargins left="0.7" right="0.7" top="0.75" bottom="0.75" header="0.3" footer="0.3"/>
  <x:tableParts count="1">
    <x:tablePart xmlns:r="http://schemas.openxmlformats.org/officeDocument/2006/relationships" r:id="R26fd62918984467f"/>
  </x:tableParts>
</x:worksheet>
</file>

<file path=xl/worksheets/sheet10.xml><?xml version="1.0" encoding="utf-8"?>
<x:worksheet xmlns:x="http://schemas.openxmlformats.org/spreadsheetml/2006/main">
  <x:sheetPr>
    <x:tabColor rgb="FF64748B"/>
  </x:sheetPr>
  <x:sheetViews>
    <x:sheetView showGridLines="0" workbookViewId="0">
      <x:pane ySplit="1" topLeftCell="A2" activePane="bottomLeft" state="frozen"/>
    </x:sheetView>
  </x:sheetViews>
  <x:sheetFormatPr defaultRowHeight="15"/>
  <x:cols>
    <x:col min="1" max="1" width="33" hidden="0" customWidth="1"/>
    <x:col min="2" max="2" width="135" hidden="0" customWidth="1"/>
  </x:cols>
  <x:sheetData>
    <x:row r="1" ht="32" customHeight="1">
      <x:c r="A1" s="91" t="str">
        <x:v>Topic</x:v>
      </x:c>
      <x:c r="B1" s="91" t="str">
        <x:v>Instructions</x:v>
      </x:c>
    </x:row>
    <x:row r="2" ht="44" customHeight="1">
      <x:c r="A2" s="109" t="str">
        <x:v>Workbook status</x:v>
      </x:c>
      <x:c r="B2" s="87" t="str">
        <x:v>Full configuration refresh dated 28 September 2026. Contains 100 English FAQs, 36 practice cards, 12 sample round schedules, 12 draft form questions and fictional recognition records. Forms and automated scoring are not activated.</x:v>
      </x:c>
    </x:row>
    <x:row r="3" ht="44" customHeight="1">
      <x:c r="A3" s="109" t="str">
        <x:v>Before publishing</x:v>
      </x:c>
      <x:c r="B3" s="87" t="str">
        <x:v>This file intentionally contains sample names, scores, schedules and a sample presenter biography. Sample names are visibly labelled. Replace or disable them before publication to employees; they are not verified Bank results.</x:v>
      </x:c>
    </x:row>
    <x:row r="4" ht="44" customHeight="1">
      <x:c r="A4" s="109" t="str">
        <x:v>Existing content</x:v>
      </x:c>
      <x:c r="B4" s="87" t="str">
        <x:v>Existing TeamMembers names, employee identifiers, photo URLs, order and media poster/icon links are preserved. The Arabic Code of Conduct download link is retained as requested. All portal content in this workbook is English.</x:v>
      </x:c>
    </x:row>
    <x:row r="5" ht="44" customHeight="1">
      <x:c r="A5" s="109" t="str">
        <x:v>Headers and sheet names</x:v>
      </x:c>
      <x:c r="B5" s="87" t="str">
        <x:v>Keep row 1 as the header on every data sheet. Keep sheet names and header spelling unchanged. The pages find fields by header name. Add records below headers, not above them.</x:v>
      </x:c>
    </x:row>
    <x:row r="6" ht="44" customHeight="1">
      <x:c r="A6" s="109" t="str">
        <x:v>Editable cells</x:v>
      </x:c>
      <x:c r="B6" s="87" t="str">
        <x:v>Amber cells identify sample values or launch inputs that need your review. White cells contain preserved or prepared content. Formula-linked TopWinners and FAQ answers update from their source cells.</x:v>
      </x:c>
    </x:row>
    <x:row r="7" ht="44" customHeight="1">
      <x:c r="A7" s="109" t="str">
        <x:v>Page configuration</x:v>
      </x:c>
      <x:c r="B7" s="87" t="str">
        <x:v>Settings contains fields consumed by the final pages. Page titles, fixed explanatory text, menu layout, image dimensions and animation remain in the page code; extra spreadsheet rows cannot change hardcoded HTML.</x:v>
      </x:c>
    </x:row>
    <x:row r="8" ht="44" customHeight="1">
      <x:c r="A8" s="109" t="str">
        <x:v>Removed content</x:v>
      </x:c>
      <x:c r="B8" s="87" t="str">
        <x:v>Removed unused episode-list keys, legacy generic challenge links, unused announcements, unused legacy participation setting, config-version setting and empty Arabic text columns. No new unused display keys were added.</x:v>
      </x:c>
    </x:row>
    <x:row r="9" ht="44" customHeight="1">
      <x:c r="A9" s="109" t="str">
        <x:v>HomeRounds</x:v>
      </x:c>
      <x:c r="B9" s="87" t="str">
        <x:v>September, October and November 2026 each contain four weekly examples. Period must use YYYY-MM. Round must be 1, 2, 3 or 4, with one enabled row per period and round. Change Settings.home_period to the chosen month.</x:v>
      </x:c>
    </x:row>
    <x:row r="10" ht="44" customHeight="1">
      <x:c r="A10" s="109" t="str">
        <x:v>Start and end examples</x:v>
      </x:c>
      <x:c r="B10" s="87" t="str">
        <x:v>OpenAt and CloseAt are ISO 8601 text required by the existing page parser, for example 2026-09-01T08:00:00+04:00 and 2026-09-08T08:00:00+04:00. They use Oman time. Opening is inclusive; closing is exclusive. These are sample dates.</x:v>
      </x:c>
    </x:row>
    <x:row r="11" ht="59" customHeight="1">
      <x:c r="A11" s="109" t="str">
        <x:v>Forms activation</x:v>
      </x:c>
      <x:c r="B11" s="87" t="str">
        <x:v>HomeRounds.Url contains PUT_..._FORM_URL_HERE markers. The current pages reject these markers, so they do not create working links. Replace each with its approved round form URL only at activation. Keep Enabled FALSE for any round you do not want listed.</x:v>
      </x:c>
    </x:row>
    <x:row r="12" ht="59" customHeight="1">
      <x:c r="A12" s="109" t="str">
        <x:v>Schedule visibility</x:v>
      </x:c>
      <x:c r="B12" s="87" t="str">
        <x:v>The current Challenges page displays a round as pending until both dates and a valid form URL exist. Example dates can be read here but may remain hidden on the page until you activate a link. This workbook does not schedule Microsoft Forms itself.</x:v>
      </x:c>
    </x:row>
    <x:row r="13" ht="44" customHeight="1">
      <x:c r="A13" s="109" t="str">
        <x:v>FormQuestions</x:v>
      </x:c>
      <x:c r="B13" s="87" t="str">
        <x:v>These are draft question and option examples for the matching Period and Round. They are not imported into Forms by the current pages. Have the content owner approve them and configure the actual forms during activation.</x:v>
      </x:c>
    </x:row>
    <x:row r="14" ht="59" customHeight="1">
      <x:c r="A14" s="109" t="str">
        <x:v>Scored answers</x:v>
      </x:c>
      <x:c r="B14" s="87" t="str">
        <x:v>Do not put correct-answer keys, response exports, confidential report details or workflow credentials in this employee-readable workbook. Keep scored answers and the authoritative response ledger in an appropriately restricted service or list.</x:v>
      </x:c>
    </x:row>
    <x:row r="15" ht="44" customHeight="1">
      <x:c r="A15" s="109" t="str">
        <x:v>Minute scoring</x:v>
      </x:c>
      <x:c r="B15" s="87" t="str">
        <x:f>"The first eligible work-account response earns "&amp;'Settings'!$B$31&amp;" participation points, with "&amp;'Settings'!$B$32&amp;" additional points for a correct first answer. At most "&amp;('Settings'!$B$31+'Settings'!$B$32)&amp;" per round, "&amp;(4*('Settings'!$B$31+'Settings'!$B$32))&amp;" per month and "&amp;(12*(4*('Settings'!$B$31+'Settings'!$B$32)))&amp;" per full year. Duplicate responses do not add points."</x:f>
        <x:v>The first eligible work-account response earns 5 participation points, with 5 additional points for a correct first answer. At most 10 per round, 40 per month and 480 per full year. Duplicate responses do not add points.</x:v>
      </x:c>
    </x:row>
    <x:row r="16" ht="59" customHeight="1">
      <x:c r="A16" s="109" t="str">
        <x:v>Other categories</x:v>
      </x:c>
      <x:c r="B16" s="87" t="str">
        <x:f>"Knowledge "&amp;'Settings'!$B$35&amp;" ("&amp;'Settings'!$B$40&amp;" per quarter), Initiative "&amp;'Settings'!$B$36&amp;" ("&amp;'Settings'!$B$41&amp;" per quarter), Engagement "&amp;'Settings'!$B$37&amp;" ("&amp;'Settings'!$B$42&amp;" per quarter), Manager Recognition "&amp;'Settings'!$B$38&amp;" ("&amp;'Settings'!$B$43&amp;" per year), Peer Nomination "&amp;'Settings'!$B$39&amp;" to the nominator ("&amp;'Settings'!$B$44&amp;" per month). These agreed programme inputs require the Bank's approval and verification process."</x:f>
        <x:v>Knowledge 20 (1 per quarter), Initiative 30 (2 per quarter), Engagement 15 (2 per quarter), Manager Recognition 40 (2 per year), Peer Nomination 10 to the nominator (1 per month). These agreed programme inputs require the Bank's approval and verification process.</x:v>
      </x:c>
    </x:row>
    <x:row r="17" ht="44" customHeight="1">
      <x:c r="A17" s="109" t="str">
        <x:v>Annual eligibility</x:v>
      </x:c>
      <x:c r="B17" s="87" t="str">
        <x:f>"The inclusive minimum is "&amp;'Settings'!$B$34&amp;" verified calendar-year points. A total of exactly "&amp;'Settings'!$B$34&amp;" is eligible for consideration. This is not a guaranteed win, a cash reward or a monthly/quarterly listing requirement."</x:f>
        <x:v>The inclusive minimum is 300 verified calendar-year points. A total of exactly 300 is eligible for consideration. This is not a guaranteed win, a cash reward or a monthly/quarterly listing requirement.</x:v>
      </x:c>
    </x:row>
    <x:row r="18" ht="59" customHeight="1">
      <x:c r="A18" s="109" t="str">
        <x:v>Points page compatibility</x:v>
      </x:c>
      <x:c r="B18" s="87" t="str">
        <x:v>If the previous Points page has var min=key==='points_annual_eligibility'?301, replace only that 301 with 300. Otherwise it rejects the new setting and shows fallback rules. Also change its fallback points_annual_eligibility:400 to :300 and threshold-only fallback HTML labels to 300 for consistency when config loading fails.</x:v>
      </x:c>
    </x:row>
    <x:row r="19" ht="59" customHeight="1">
      <x:c r="A19" s="109" t="str">
        <x:v>Changing the point rules</x:v>
      </x:c>
      <x:c r="B19" s="87" t="str">
        <x:v>Edit the numeric Settings values; linked FAQ answers recalculate in Excel. Recalculate and save before uploading because the page reader uses cached formula values. Apply the same approved rules in the protected scoring workflow, and retain each historical activity's applicable rule version.</x:v>
      </x:c>
    </x:row>
    <x:row r="20" ht="44" customHeight="1">
      <x:c r="A20" s="109" t="str">
        <x:v>Leaderboard samples</x:v>
      </x:c>
      <x:c r="B20" s="87" t="str">
        <x:v>Leaderboards includes a monthly top 10 for August 2026 and a quarterly top 10 for Q2 2026. All names end in (Sample), identifiers start DEMO-, and scores are fictional. Replace these snapshots with verified data.</x:v>
      </x:c>
    </x:row>
    <x:row r="21" ht="59" customHeight="1">
      <x:c r="A21" s="109" t="str">
        <x:v>TopWinners</x:v>
      </x:c>
      <x:c r="B21" s="87" t="str">
        <x:v>The home-page records link by formula to monthly rows 2-4 of Leaderboards. Keep its monthly records in rows 2-11, ordered by rank, and quarterly records in rows 12-21. Edit the monthly source records instead of typing a second set of names. Do not mix the two blocks when sorting.</x:v>
      </x:c>
    </x:row>
    <x:row r="22" ht="59" customHeight="1">
      <x:c r="A22" s="109" t="str">
        <x:v>Reporting labels</x:v>
      </x:c>
      <x:c r="B22" s="87" t="str">
        <x:v>Settings.winners_month_label and monthly_leaderboard_label both refer to the current monthly snapshot. Use a real Month YYYY or YYYY-MM label. quarterly_leaderboard_label uses Qn YYYY. Do not place Sample text inside these parser-sensitive labels.</x:v>
      </x:c>
    </x:row>
    <x:row r="23" ht="44" customHeight="1">
      <x:c r="A23" s="109" t="str">
        <x:v>Monthly and quarterly totals</x:v>
      </x:c>
      <x:c r="B23" s="87" t="str">
        <x:v>Programme totals may exceed the 40-point monthly Minute limit because other verified categories contribute. Monthly, quarterly and annual totals overlap; do not add those totals together. Count each underlying activity once.</x:v>
      </x:c>
    </x:row>
    <x:row r="24" ht="44" customHeight="1">
      <x:c r="A24" s="109" t="str">
        <x:v>WinnersArchive</x:v>
      </x:c>
      <x:c r="B24" s="87" t="str">
        <x:v>Contains complete fictional top 10 snapshots for June and July 2026. Month must include the year as YYYY-MM. When moving to a new month, append the previous monthly results once before replacing the live monthly snapshot.</x:v>
      </x:c>
    </x:row>
    <x:row r="25" ht="44" customHeight="1">
      <x:c r="A25" s="109" t="str">
        <x:v>Fictional identity labels</x:v>
      </x:c>
      <x:c r="B25" s="87" t="str">
        <x:v>DEMO-001 to DEMO-010 and all (Sample) winner names are invented examples. They are not related to the preserved TeamMembers records. Do not treat them as employee records or score evidence.</x:v>
      </x:c>
    </x:row>
    <x:row r="26" ht="44" customHeight="1">
      <x:c r="A26" s="109" t="str">
        <x:v>Turning examples off</x:v>
      </x:c>
      <x:c r="B26" s="87" t="str">
        <x:v>For HomeRounds and TopWinners, set Enabled to FALSE. For Leaderboards and WinnersArchive, remove the example rows and keep the headers, or add an Enabled column and set FALSE. Replace the sample presenter biography before publishing.</x:v>
      </x:c>
    </x:row>
    <x:row r="27" ht="59" customHeight="1">
      <x:c r="A27" s="109" t="str">
        <x:v>Optional SharePoint results list</x:v>
      </x:c>
      <x:c r="B27" s="87" t="str">
        <x:v>The optional home_results_list_id and home_results_period keys are omitted until activation. The Main page therefore reads TopWinners. Later add the real approved list GUID as home_results_list_id and its YYYY-MM period as home_results_period. Do not use a made-up GUID.</x:v>
      </x:c>
    </x:row>
    <x:row r="28" ht="59" customHeight="1">
      <x:c r="A28" s="109" t="str">
        <x:v>Results-list contract</x:v>
      </x:c>
      <x:c r="B28" s="87" t="str">
        <x:v>The current Main page expects list fields Title, Rank, Points, Period and Published. The list should contain only approved public result summaries and be writable only by authorised publishing processes. The Challenges page still reads workbook snapshots; it does not share this optional list connection automatically.</x:v>
      </x:c>
    </x:row>
    <x:row r="29" ht="59" customHeight="1">
      <x:c r="A29" s="109" t="str">
        <x:v>Automation boundaries</x:v>
      </x:c>
      <x:c r="B29" s="87" t="str">
        <x:v>This file is configuration and published content, not a response database. Automated scoring still needs authenticated identity, server-side time checks, deduplication, category limits, authorised approvals and protected writes. Browser actions and this workbook do not award points.</x:v>
      </x:c>
    </x:row>
    <x:row r="30" ht="44" customHeight="1">
      <x:c r="A30" s="109" t="str">
        <x:v>Confidential concerns</x:v>
      </x:c>
      <x:c r="B30" s="87" t="str">
        <x:v>Keep reporting channels separate from learning forms and public score records. Do not expose reporters, customer data or case narratives through suggestions, point claims, leaderboards or this workbook.</x:v>
      </x:c>
    </x:row>
    <x:row r="31" ht="59" customHeight="1">
      <x:c r="A31" s="109" t="str">
        <x:v>Policy source</x:v>
      </x:c>
      <x:c r="B31" s="87" t="str">
        <x:v>Policy FAQ answers and practice cards are based on the user-supplied 2023 - Code of Conduct English.pdf.pdf, Sections 1-12 and its internal-use notice. SourceSection identifies the relevant section. Programme rules come from the agreed Nazaha design, not from an assertion that the 2023 Code prescribes those scores.</x:v>
      </x:c>
    </x:row>
    <x:row r="32" ht="44" customHeight="1">
      <x:c r="A32" s="109" t="str">
        <x:v>Policy review</x:v>
      </x:c>
      <x:c r="B32" s="87" t="str">
        <x:v>The Bank's current approved policies govern. Ask the content owner to review this English awareness content against any newer approved documents before publication. The workbook does not amend the Code or create a new reporting policy.</x:v>
      </x:c>
    </x:row>
    <x:row r="33" ht="44" customHeight="1">
      <x:c r="A33" s="109" t="str">
        <x:v>FAQ maintenance</x:v>
      </x:c>
      <x:c r="B33" s="87" t="str">
        <x:v>Each enabled FAQ needs Category, Question_EN and Answer_EN. Sort controls order. SourceSection supplies the reference shown on the FAQ page. Avoid duplicate questions with different answers. Set Enabled FALSE to hide an answer.</x:v>
      </x:c>
    </x:row>
    <x:row r="34" ht="44" customHeight="1">
      <x:c r="A34" s="109" t="str">
        <x:v>Practice cards</x:v>
      </x:c>
      <x:c r="B34" s="87" t="str">
        <x:v>DoDont uses Type DO or DONT, an English title and a short explanation. The Integrity Guide is practice only and does not award official points. There are 18 cards of each type.</x:v>
      </x:c>
    </x:row>
    <x:row r="35" ht="59" customHeight="1">
      <x:c r="A35" s="109" t="str">
        <x:v>Publishing the workbook</x:v>
      </x:c>
      <x:c r="B35" s="87" t="str">
        <x:v>Replace config.xlsx in the existing config file document library. Keep the existing filename and URL. Save and close the Excel editing session after recalculation, then reload and check every portal page. Do not change xlsx.full.min.js during this content update.</x:v>
      </x:c>
    </x:row>
    <x:row r="36" ht="59" customHeight="1">
      <x:c r="A36" s="109" t="str">
        <x:v>Launch checks</x:v>
      </x:c>
      <x:c r="B36" s="87" t="str">
        <x:v>Confirm the 300-point page guard, replace sample results and biography, approve questions, set real round dates and form links, configure form access and workflow rules, check permissions, and verify both successful and rejected duplicate submissions before launch.</x:v>
      </x:c>
    </x:row>
  </x:sheetData>
  <x:pageMargins left="0.7" right="0.7" top="0.75" bottom="0.75" header="0.3" footer="0.3"/>
  <x:tableParts count="1">
    <x:tablePart xmlns:r="http://schemas.openxmlformats.org/officeDocument/2006/relationships" r:id="R8b2df0599e984506"/>
  </x:tableParts>
</x:worksheet>
</file>